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40"/>
  </bookViews>
  <sheets>
    <sheet name="客户对账单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<sst xmlns="http://schemas.openxmlformats.org/spreadsheetml/2006/main" count="141" uniqueCount="79">
  <si>
    <t>、</t>
  </si>
  <si>
    <t>客户往来对账单</t>
  </si>
  <si>
    <t>金山办公软件有限公司</t>
  </si>
  <si>
    <t>联系人：稻小壳     电话：13800000001</t>
  </si>
  <si>
    <t>本期订单金额</t>
  </si>
  <si>
    <t>本期付款金额</t>
  </si>
  <si>
    <t>本期未付款</t>
  </si>
  <si>
    <t>珠海市高新区唐家湾镇前岛环路321号金山软件园</t>
  </si>
  <si>
    <t>客户单位：</t>
  </si>
  <si>
    <t>XXX客户单位公司</t>
  </si>
  <si>
    <t>联  系  人：</t>
  </si>
  <si>
    <t>稻小壳01</t>
  </si>
  <si>
    <t>对账周期：</t>
  </si>
  <si>
    <t>20XX年XX月XX日—20XX年XX月XX日</t>
  </si>
  <si>
    <t>对账单号：</t>
  </si>
  <si>
    <t>ZXJN00001</t>
  </si>
  <si>
    <t>单位地址：</t>
  </si>
  <si>
    <t>XXX省XXX市XXX区/县XXX路XXX号</t>
  </si>
  <si>
    <t>联系电话：</t>
  </si>
  <si>
    <t>138-0000-0001</t>
  </si>
  <si>
    <t>E_mail：</t>
  </si>
  <si>
    <t>kingsoft@docer.cn</t>
  </si>
  <si>
    <t>对账日期：</t>
  </si>
  <si>
    <t>20XX年XX月XX日</t>
  </si>
  <si>
    <t>订单汇总统计</t>
  </si>
  <si>
    <t>订单明细</t>
  </si>
  <si>
    <t>付款明细</t>
  </si>
  <si>
    <t>订货单号</t>
  </si>
  <si>
    <t>订货日期</t>
  </si>
  <si>
    <t>订单总额</t>
  </si>
  <si>
    <t>已付金额</t>
  </si>
  <si>
    <t>未付款</t>
  </si>
  <si>
    <t>货物或服务名称</t>
  </si>
  <si>
    <t>单位</t>
  </si>
  <si>
    <t>数量</t>
  </si>
  <si>
    <t>单价（元）</t>
  </si>
  <si>
    <t>金额（元）</t>
  </si>
  <si>
    <t>备注</t>
  </si>
  <si>
    <t>日期</t>
  </si>
  <si>
    <t>付款金额</t>
  </si>
  <si>
    <t>LP001</t>
  </si>
  <si>
    <t>A_001品名</t>
  </si>
  <si>
    <t>件</t>
  </si>
  <si>
    <t>LP002</t>
  </si>
  <si>
    <t>A_002品名</t>
  </si>
  <si>
    <t>LP003</t>
  </si>
  <si>
    <t>A_003品名</t>
  </si>
  <si>
    <t>LP004</t>
  </si>
  <si>
    <t>A_004品名</t>
  </si>
  <si>
    <t>LP005</t>
  </si>
  <si>
    <t>A_005品名</t>
  </si>
  <si>
    <t>LP006</t>
  </si>
  <si>
    <t>A_006品名</t>
  </si>
  <si>
    <t>LP007</t>
  </si>
  <si>
    <t>A_007品名</t>
  </si>
  <si>
    <t>LP008</t>
  </si>
  <si>
    <t>A_008品名</t>
  </si>
  <si>
    <t>LP009</t>
  </si>
  <si>
    <t>A_009品名</t>
  </si>
  <si>
    <t>LP010</t>
  </si>
  <si>
    <t>A_010品名</t>
  </si>
  <si>
    <t>LP011</t>
  </si>
  <si>
    <t>A_011品名</t>
  </si>
  <si>
    <t>LP012</t>
  </si>
  <si>
    <t>A_012品名</t>
  </si>
  <si>
    <t>LP013</t>
  </si>
  <si>
    <t>A_013品名</t>
  </si>
  <si>
    <t>LP014</t>
  </si>
  <si>
    <t>A_014品名</t>
  </si>
  <si>
    <t>LP015</t>
  </si>
  <si>
    <t>A_015品名</t>
  </si>
  <si>
    <t>A_016品名</t>
  </si>
  <si>
    <t>A_017品名</t>
  </si>
  <si>
    <t>A_018品名</t>
  </si>
  <si>
    <t>A_019品名</t>
  </si>
  <si>
    <t>A_020品名</t>
  </si>
  <si>
    <t>A_021品名</t>
  </si>
  <si>
    <t>A_022品名</t>
  </si>
  <si>
    <t>A_023品名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</si>
</sst>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.00_);[Red]\(0.00\)"/>
    <numFmt numFmtId="178" formatCode="&quot; &quot;@"/>
  </numFmts>
  <fonts count="32">
    <font>
      <sz val="11"/>
      <color theme="1"/>
      <name val="等线"/>
      <charset val="134"/>
      <scheme val="minor"/>
    </font>
    <font>
      <sz val="11"/>
      <color theme="1"/>
      <name val="思源黑体 CN Medium"/>
      <charset val="134"/>
    </font>
    <font>
      <sz val="11"/>
      <color theme="1"/>
      <name val="思源黑体 CN Regular"/>
      <charset val="134"/>
    </font>
    <font>
      <sz val="10"/>
      <color theme="1"/>
      <name val="思源黑体 CN Regular"/>
      <charset val="134"/>
    </font>
    <font>
      <sz val="11"/>
      <color theme="0"/>
      <name val="思源黑体 CN Regular"/>
      <charset val="134"/>
    </font>
    <font>
      <sz val="20"/>
      <color theme="0"/>
      <name val="思源黑体 CN Heavy"/>
      <charset val="134"/>
    </font>
    <font>
      <sz val="14"/>
      <color theme="0"/>
      <name val="思源黑体 CN Heavy"/>
      <charset val="134"/>
    </font>
    <font>
      <sz val="12"/>
      <color theme="0"/>
      <name val="思源黑体 CN Bold"/>
      <charset val="134"/>
    </font>
    <font>
      <sz val="11"/>
      <color theme="0"/>
      <name val="思源黑体 CN Medium"/>
      <charset val="134"/>
    </font>
    <font>
      <sz val="11"/>
      <color theme="1" tint="0.35"/>
      <name val="思源黑体 CN Regular"/>
      <charset val="134"/>
    </font>
    <font>
      <sz val="11"/>
      <color theme="1"/>
      <name val="思源黑体 CN Bold"/>
      <charset val="134"/>
    </font>
    <font>
      <sz val="13"/>
      <color theme="1"/>
      <name val="思源黑体 CN Regular"/>
      <charset val="134"/>
    </font>
    <font>
      <sz val="12"/>
      <color theme="1"/>
      <name val="思源黑体 CN Bold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6F8FC"/>
        <bgColor indexed="64"/>
      </patternFill>
    </fill>
    <fill>
      <gradientFill degree="90">
        <stop position="0">
          <color rgb="FFEEF5FC"/>
        </stop>
        <stop position="1">
          <color theme="0" tint="-0.15"/>
        </stop>
      </gradientFill>
    </fill>
    <fill>
      <gradientFill>
        <stop position="0">
          <color rgb="FFEEF5FC"/>
        </stop>
        <stop position="1">
          <color theme="0" tint="-0.148991363261818"/>
        </stop>
      </gradientFill>
    </fill>
    <fill>
      <patternFill patternType="solid">
        <fgColor rgb="FF608DFA"/>
        <bgColor indexed="64"/>
      </patternFill>
    </fill>
    <fill>
      <gradientFill degree="180">
        <stop position="0">
          <color rgb="FFEEF5FC"/>
        </stop>
        <stop position="1">
          <color theme="0" tint="-0.15"/>
        </stop>
      </gradient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2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DDE2EA"/>
      </left>
      <right style="thin">
        <color rgb="FFDDE2EA"/>
      </right>
      <top style="thin">
        <color rgb="FFDDE2EA"/>
      </top>
      <bottom style="thin">
        <color rgb="FFDDE2EA"/>
      </bottom>
      <diagonal/>
    </border>
    <border>
      <left style="thin">
        <color rgb="FFDDE2EA"/>
      </left>
      <right/>
      <top style="thin">
        <color rgb="FFDDE2EA"/>
      </top>
      <bottom style="thin">
        <color rgb="FFDDE2EA"/>
      </bottom>
      <diagonal/>
    </border>
    <border>
      <left/>
      <right/>
      <top style="thin">
        <color rgb="FFDDE2EA"/>
      </top>
      <bottom style="thin">
        <color rgb="FFDDE2EA"/>
      </bottom>
      <diagonal/>
    </border>
    <border>
      <left/>
      <right style="thin">
        <color rgb="FFDDE2EA"/>
      </right>
      <top style="thin">
        <color rgb="FFDDE2EA"/>
      </top>
      <bottom style="thin">
        <color rgb="FFDDE2EA"/>
      </bottom>
      <diagonal/>
    </border>
    <border>
      <left style="thin">
        <color rgb="FFDDE2EA"/>
      </left>
      <right style="thin">
        <color rgb="FFDDE2EA"/>
      </right>
      <top/>
      <bottom style="thin">
        <color rgb="FFDDE2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 applyProtection="1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2" borderId="0" xfId="0" applyNumberFormat="1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176" fontId="3" fillId="2" borderId="0" xfId="0" applyNumberFormat="1" applyFont="1" applyFill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3" fillId="3" borderId="0" xfId="0" applyNumberFormat="1" applyFont="1" applyFill="1" applyAlignment="1" applyProtection="1">
      <alignment vertical="center"/>
    </xf>
    <xf numFmtId="176" fontId="3" fillId="3" borderId="0" xfId="0" applyNumberFormat="1" applyFont="1" applyFill="1" applyAlignment="1" applyProtection="1">
      <alignment vertical="center"/>
    </xf>
    <xf numFmtId="0" fontId="3" fillId="4" borderId="0" xfId="0" applyFont="1" applyFill="1" applyAlignment="1" applyProtection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 applyProtection="1">
      <alignment vertical="center"/>
    </xf>
    <xf numFmtId="0" fontId="5" fillId="5" borderId="0" xfId="0" applyFont="1" applyFill="1" applyAlignment="1">
      <alignment horizontal="left" vertical="center"/>
    </xf>
    <xf numFmtId="177" fontId="6" fillId="5" borderId="0" xfId="0" applyNumberFormat="1" applyFont="1" applyFill="1" applyAlignment="1">
      <alignment horizontal="center"/>
    </xf>
    <xf numFmtId="176" fontId="7" fillId="5" borderId="0" xfId="0" applyNumberFormat="1" applyFont="1" applyFill="1" applyAlignment="1">
      <alignment horizontal="right" vertical="center"/>
    </xf>
    <xf numFmtId="178" fontId="8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176" fontId="2" fillId="7" borderId="0" xfId="0" applyNumberFormat="1" applyFont="1" applyFill="1" applyAlignment="1">
      <alignment vertical="center"/>
    </xf>
    <xf numFmtId="176" fontId="9" fillId="7" borderId="0" xfId="0" applyNumberFormat="1" applyFont="1" applyFill="1" applyAlignment="1">
      <alignment vertical="center"/>
    </xf>
    <xf numFmtId="176" fontId="10" fillId="8" borderId="1" xfId="0" applyNumberFormat="1" applyFont="1" applyFill="1" applyBorder="1" applyAlignment="1">
      <alignment vertical="center"/>
    </xf>
    <xf numFmtId="176" fontId="9" fillId="7" borderId="0" xfId="0" applyNumberFormat="1" applyFont="1" applyFill="1" applyAlignment="1">
      <alignment horizontal="center" vertical="center"/>
    </xf>
    <xf numFmtId="0" fontId="11" fillId="2" borderId="0" xfId="0" applyNumberFormat="1" applyFont="1" applyFill="1" applyAlignment="1" applyProtection="1">
      <alignment vertical="center"/>
    </xf>
    <xf numFmtId="0" fontId="11" fillId="4" borderId="0" xfId="0" applyFont="1" applyFill="1" applyAlignment="1" applyProtection="1">
      <alignment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1" fillId="6" borderId="0" xfId="0" applyFont="1" applyFill="1" applyAlignment="1" applyProtection="1">
      <alignment vertical="center"/>
    </xf>
    <xf numFmtId="0" fontId="1" fillId="7" borderId="2" xfId="0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7" fontId="2" fillId="7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1" tint="0.5"/>
      </font>
    </dxf>
  </dxfs>
  <tableStyles count="0" defaultTableStyle="TableStyleMedium2" defaultPivotStyle="PivotStyleLight16"/>
  <colors>
    <mruColors>
      <color rgb="00608DFA"/>
      <color rgb="00E2EBFF"/>
      <color rgb="00DDE2EA"/>
      <color rgb="00F5F5F5"/>
      <color rgb="00FAFAF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svg"/><Relationship Id="rId8" Type="http://schemas.openxmlformats.org/officeDocument/2006/relationships/image" Target="../media/image5.png"/><Relationship Id="rId7" Type="http://schemas.openxmlformats.org/officeDocument/2006/relationships/hyperlink" Target="#&#23458;&#25143;&#23545;&#36134;&#21333;!J1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&#23458;&#25143;&#23545;&#36134;&#21333;!D11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2" Type="http://schemas.openxmlformats.org/officeDocument/2006/relationships/image" Target="../media/image8.svg"/><Relationship Id="rId11" Type="http://schemas.openxmlformats.org/officeDocument/2006/relationships/image" Target="../media/image7.png"/><Relationship Id="rId10" Type="http://schemas.openxmlformats.org/officeDocument/2006/relationships/hyperlink" Target="#&#23458;&#25143;&#23545;&#36134;&#21333;!R11"/><Relationship Id="rId1" Type="http://schemas.openxmlformats.org/officeDocument/2006/relationships/hyperlink" Target="#&#23458;&#25143;&#23545;&#36134;&#21333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7620</xdr:colOff>
      <xdr:row>2</xdr:row>
      <xdr:rowOff>149860</xdr:rowOff>
    </xdr:from>
    <xdr:to>
      <xdr:col>3</xdr:col>
      <xdr:colOff>640080</xdr:colOff>
      <xdr:row>4</xdr:row>
      <xdr:rowOff>248920</xdr:rowOff>
    </xdr:to>
    <xdr:pic>
      <xdr:nvPicPr>
        <xdr:cNvPr id="4" name="图片 3" descr="333437323832393b333437313235393bd6a4c8afb6d4d5cb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5460" y="353060"/>
          <a:ext cx="632460" cy="632460"/>
        </a:xfrm>
        <a:prstGeom prst="rect">
          <a:avLst/>
        </a:prstGeom>
        <a:effectLst>
          <a:outerShdw blurRad="50800" dist="38100" dir="10800000" algn="r" rotWithShape="0">
            <a:schemeClr val="tx2">
              <a:lumMod val="75000"/>
              <a:alpha val="40000"/>
            </a:schemeClr>
          </a:outerShdw>
        </a:effectLst>
      </xdr:spPr>
    </xdr:pic>
    <xdr:clientData/>
  </xdr:twoCellAnchor>
  <xdr:twoCellAnchor editAs="oneCell">
    <xdr:from>
      <xdr:col>4</xdr:col>
      <xdr:colOff>571500</xdr:colOff>
      <xdr:row>10</xdr:row>
      <xdr:rowOff>55880</xdr:rowOff>
    </xdr:from>
    <xdr:to>
      <xdr:col>4</xdr:col>
      <xdr:colOff>788670</xdr:colOff>
      <xdr:row>10</xdr:row>
      <xdr:rowOff>271780</xdr:rowOff>
    </xdr:to>
    <xdr:pic>
      <xdr:nvPicPr>
        <xdr:cNvPr id="5" name="图片 4" descr="32303236373535353b32303238383637383bb4f8cafdbeddd5dbcfdfcdbc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35785" y="2189480"/>
          <a:ext cx="217170" cy="21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191770</xdr:colOff>
      <xdr:row>10</xdr:row>
      <xdr:rowOff>69850</xdr:rowOff>
    </xdr:from>
    <xdr:to>
      <xdr:col>11</xdr:col>
      <xdr:colOff>371475</xdr:colOff>
      <xdr:row>10</xdr:row>
      <xdr:rowOff>249555</xdr:rowOff>
    </xdr:to>
    <xdr:pic>
      <xdr:nvPicPr>
        <xdr:cNvPr id="6" name="图片 5" descr="343435383135313b333635353531353bc1d0b1ed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948170" y="2203450"/>
          <a:ext cx="179705" cy="179705"/>
        </a:xfrm>
        <a:prstGeom prst="rect">
          <a:avLst/>
        </a:prstGeom>
      </xdr:spPr>
    </xdr:pic>
    <xdr:clientData/>
  </xdr:twoCellAnchor>
  <xdr:twoCellAnchor editAs="oneCell">
    <xdr:from>
      <xdr:col>17</xdr:col>
      <xdr:colOff>637540</xdr:colOff>
      <xdr:row>10</xdr:row>
      <xdr:rowOff>48260</xdr:rowOff>
    </xdr:from>
    <xdr:to>
      <xdr:col>17</xdr:col>
      <xdr:colOff>873760</xdr:colOff>
      <xdr:row>10</xdr:row>
      <xdr:rowOff>285750</xdr:rowOff>
    </xdr:to>
    <xdr:pic>
      <xdr:nvPicPr>
        <xdr:cNvPr id="7" name="图片 6" descr="343435333336373b333530343132333bd2f8d0d0bfa8">
          <a:hlinkClick xmlns:r="http://schemas.openxmlformats.org/officeDocument/2006/relationships" r:id="rId10"/>
        </xdr:cNvPr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092815" y="2181860"/>
          <a:ext cx="236220" cy="2374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7620</xdr:colOff>
      <xdr:row>2</xdr:row>
      <xdr:rowOff>34925</xdr:rowOff>
    </xdr:from>
    <xdr:to>
      <xdr:col>16</xdr:col>
      <xdr:colOff>382905</xdr:colOff>
      <xdr:row>124</xdr:row>
      <xdr:rowOff>38735</xdr:rowOff>
    </xdr:to>
    <xdr:sp>
      <xdr:nvSpPr>
        <xdr:cNvPr id="2" name="矩形 1"/>
        <xdr:cNvSpPr/>
      </xdr:nvSpPr>
      <xdr:spPr>
        <a:xfrm>
          <a:off x="197485" y="149225"/>
          <a:ext cx="9229725" cy="2603373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323850</xdr:colOff>
      <xdr:row>34</xdr:row>
      <xdr:rowOff>64770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5460" y="5715635"/>
          <a:ext cx="3170555" cy="129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16510</xdr:rowOff>
    </xdr:to>
    <xdr:grpSp>
      <xdr:nvGrpSpPr>
        <xdr:cNvPr id="4" name="组合 102"/>
        <xdr:cNvGrpSpPr/>
      </xdr:nvGrpSpPr>
      <xdr:grpSpPr>
        <a:xfrm>
          <a:off x="189865" y="892175"/>
          <a:ext cx="4455795" cy="945515"/>
          <a:chOff x="-48" y="701"/>
          <a:chExt cx="6845" cy="1248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8" name="组合 7"/>
        <xdr:cNvGrpSpPr/>
      </xdr:nvGrpSpPr>
      <xdr:grpSpPr>
        <a:xfrm>
          <a:off x="404495" y="2047240"/>
          <a:ext cx="3186430" cy="859790"/>
          <a:chOff x="1212" y="2209"/>
          <a:chExt cx="4839" cy="115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5347335" y="2755900"/>
          <a:ext cx="0" cy="1144968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369570</xdr:colOff>
      <xdr:row>28</xdr:row>
      <xdr:rowOff>165100</xdr:rowOff>
    </xdr:to>
    <xdr:grpSp>
      <xdr:nvGrpSpPr>
        <xdr:cNvPr id="12" name="组合 11"/>
        <xdr:cNvGrpSpPr/>
      </xdr:nvGrpSpPr>
      <xdr:grpSpPr>
        <a:xfrm>
          <a:off x="5748020" y="2057400"/>
          <a:ext cx="3033395" cy="3769360"/>
          <a:chOff x="8438" y="3702"/>
          <a:chExt cx="4611" cy="5059"/>
        </a:xfrm>
      </xdr:grpSpPr>
      <xdr:grpSp>
        <xdr:nvGrpSpPr>
          <xdr:cNvPr id="13" name="组合 32"/>
          <xdr:cNvGrpSpPr/>
        </xdr:nvGrpSpPr>
        <xdr:grpSpPr>
          <a:xfrm>
            <a:off x="8721" y="6083"/>
            <a:ext cx="4328" cy="2678"/>
            <a:chOff x="11007" y="5362"/>
            <a:chExt cx="4828" cy="2710"/>
          </a:xfrm>
        </xdr:grpSpPr>
        <xdr:cxnSp>
          <xdr:nvCxnSpPr>
            <xdr:cNvPr id="14" name="直接连接符 13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5" name="直接连接符 14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6" name="直接连接符 15"/>
            <xdr:cNvCxnSpPr/>
          </xdr:nvCxnSpPr>
          <xdr:spPr>
            <a:xfrm>
              <a:off x="11007" y="807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" name="组合 34"/>
          <xdr:cNvGrpSpPr/>
        </xdr:nvGrpSpPr>
        <xdr:grpSpPr>
          <a:xfrm>
            <a:off x="8438" y="3702"/>
            <a:ext cx="3264" cy="1841"/>
            <a:chOff x="10730" y="2878"/>
            <a:chExt cx="3249" cy="1864"/>
          </a:xfrm>
        </xdr:grpSpPr>
        <xdr:sp>
          <xdr:nvSpPr>
            <xdr:cNvPr id="18" name="文本框 17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503050405090304" pitchFamily="12"/>
                  <a:sym typeface="Times New Roman" panose="0202050305040509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endParaRPr>
            </a:p>
          </xdr:txBody>
        </xdr:sp>
        <xdr:grpSp>
          <xdr:nvGrpSpPr>
            <xdr:cNvPr id="19" name="组合 18"/>
            <xdr:cNvGrpSpPr/>
          </xdr:nvGrpSpPr>
          <xdr:grpSpPr>
            <a:xfrm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20" name="文本框 19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503050405090304" pitchFamily="12"/>
                  <a:sym typeface="Times New Roman" panose="02020503050405090304" pitchFamily="12"/>
                </a:endParaRPr>
              </a:p>
            </xdr:txBody>
          </xdr:sp>
          <xdr:sp>
            <xdr:nvSpPr>
              <xdr:cNvPr id="21" name="文本框 20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503050405090304" pitchFamily="12"/>
                    <a:sym typeface="Times New Roman" panose="0202050305040509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503050405090304" pitchFamily="12"/>
                  <a:sym typeface="Times New Roman" panose="0202050305040509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569595</xdr:colOff>
      <xdr:row>39</xdr:row>
      <xdr:rowOff>8890</xdr:rowOff>
    </xdr:from>
    <xdr:to>
      <xdr:col>15</xdr:col>
      <xdr:colOff>219075</xdr:colOff>
      <xdr:row>50</xdr:row>
      <xdr:rowOff>153035</xdr:rowOff>
    </xdr:to>
    <xdr:grpSp>
      <xdr:nvGrpSpPr>
        <xdr:cNvPr id="22" name="组合 21"/>
        <xdr:cNvGrpSpPr/>
      </xdr:nvGrpSpPr>
      <xdr:grpSpPr>
        <a:xfrm>
          <a:off x="5819140" y="8017510"/>
          <a:ext cx="2811780" cy="2491105"/>
          <a:chOff x="8691" y="9541"/>
          <a:chExt cx="9416" cy="3345"/>
        </a:xfrm>
      </xdr:grpSpPr>
      <xdr:sp>
        <xdr:nvSpPr>
          <xdr:cNvPr id="23" name="文本框 22"/>
          <xdr:cNvSpPr txBox="1"/>
        </xdr:nvSpPr>
        <xdr:spPr>
          <a:xfrm>
            <a:off x="10096" y="9541"/>
            <a:ext cx="7240" cy="7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素材说明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  <xdr:sp>
        <xdr:nvSpPr>
          <xdr:cNvPr id="24" name="文本框 23"/>
          <xdr:cNvSpPr txBox="1"/>
        </xdr:nvSpPr>
        <xdr:spPr>
          <a:xfrm>
            <a:off x="8691" y="11375"/>
            <a:ext cx="9416" cy="151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素材：</a:t>
            </a:r>
            <a:endPara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  <a:p>
            <a:pPr marL="0" algn="l" eaLnBrk="1"/>
            <a:endParaRPr lang="zh-CN" altLang="en-US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  <a:p>
            <a:pPr marL="0" algn="l" eaLnBrk="1"/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rPr>
              <a:t>模板中使用的图标来源于【稻壳图标】，仅限于个人学习、研究或欣赏目的使用，如需商用请您自行向版权方购买、获取商用版权。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  <a:p>
            <a:pPr marL="0" algn="l" eaLnBrk="1"/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2</xdr:col>
      <xdr:colOff>284480</xdr:colOff>
      <xdr:row>15</xdr:row>
      <xdr:rowOff>161925</xdr:rowOff>
    </xdr:from>
    <xdr:to>
      <xdr:col>7</xdr:col>
      <xdr:colOff>189230</xdr:colOff>
      <xdr:row>19</xdr:row>
      <xdr:rowOff>73660</xdr:rowOff>
    </xdr:to>
    <xdr:grpSp>
      <xdr:nvGrpSpPr>
        <xdr:cNvPr id="25" name="组合 69"/>
        <xdr:cNvGrpSpPr/>
      </xdr:nvGrpSpPr>
      <xdr:grpSpPr>
        <a:xfrm>
          <a:off x="474345" y="3049905"/>
          <a:ext cx="3067050" cy="765175"/>
          <a:chOff x="7139" y="3569"/>
          <a:chExt cx="4652" cy="1008"/>
        </a:xfrm>
      </xdr:grpSpPr>
      <xdr:sp>
        <xdr:nvSpPr>
          <xdr:cNvPr id="26" name="文本框 25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  <xdr:sp>
        <xdr:nvSpPr>
          <xdr:cNvPr id="27" name="文本框 26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57150</xdr:rowOff>
    </xdr:from>
    <xdr:to>
      <xdr:col>8</xdr:col>
      <xdr:colOff>96520</xdr:colOff>
      <xdr:row>28</xdr:row>
      <xdr:rowOff>144780</xdr:rowOff>
    </xdr:to>
    <xdr:grpSp>
      <xdr:nvGrpSpPr>
        <xdr:cNvPr id="28" name="组合 77"/>
        <xdr:cNvGrpSpPr/>
      </xdr:nvGrpSpPr>
      <xdr:grpSpPr>
        <a:xfrm>
          <a:off x="462915" y="5078730"/>
          <a:ext cx="3618230" cy="727710"/>
          <a:chOff x="7127" y="5903"/>
          <a:chExt cx="5482" cy="1014"/>
        </a:xfrm>
      </xdr:grpSpPr>
      <xdr:sp>
        <xdr:nvSpPr>
          <xdr:cNvPr id="29" name="文本框 28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  <xdr:sp>
        <xdr:nvSpPr>
          <xdr:cNvPr id="30" name="文本框 29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149225</xdr:colOff>
      <xdr:row>23</xdr:row>
      <xdr:rowOff>8890</xdr:rowOff>
    </xdr:to>
    <xdr:pic>
      <xdr:nvPicPr>
        <xdr:cNvPr id="31" name="图片 30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5470" y="3872865"/>
          <a:ext cx="4180840" cy="730885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10</xdr:col>
      <xdr:colOff>499110</xdr:colOff>
      <xdr:row>30</xdr:row>
      <xdr:rowOff>58420</xdr:rowOff>
    </xdr:from>
    <xdr:to>
      <xdr:col>15</xdr:col>
      <xdr:colOff>450215</xdr:colOff>
      <xdr:row>39</xdr:row>
      <xdr:rowOff>143510</xdr:rowOff>
    </xdr:to>
    <xdr:sp>
      <xdr:nvSpPr>
        <xdr:cNvPr id="32" name="文本框 31"/>
        <xdr:cNvSpPr txBox="1"/>
      </xdr:nvSpPr>
      <xdr:spPr>
        <a:xfrm>
          <a:off x="5748655" y="6146800"/>
          <a:ext cx="3113405" cy="20053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200000"/>
            </a:lnSpc>
          </a:pPr>
          <a:r>
            <a:rPr lang="zh-CN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开源字体：</a:t>
          </a:r>
          <a:endParaRPr lang="zh-CN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200000"/>
            </a:lnSpc>
          </a:pPr>
          <a:r>
            <a:rPr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模板中使用的字体为开源字体，请用户按照该款开源字体的开源协议要求来使用该字体。</a:t>
          </a:r>
          <a:endParaRPr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200000"/>
            </a:lnSpc>
          </a:pPr>
          <a:r>
            <a:rPr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200000"/>
            </a:lnSpc>
          </a:pP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33" name="直接连接符 32"/>
        <xdr:cNvCxnSpPr/>
      </xdr:nvCxnSpPr>
      <xdr:spPr>
        <a:xfrm>
          <a:off x="5347335" y="2755900"/>
          <a:ext cx="0" cy="1144968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</xdr:colOff>
      <xdr:row>17</xdr:row>
      <xdr:rowOff>27940</xdr:rowOff>
    </xdr:from>
    <xdr:to>
      <xdr:col>15</xdr:col>
      <xdr:colOff>369570</xdr:colOff>
      <xdr:row>28</xdr:row>
      <xdr:rowOff>165100</xdr:rowOff>
    </xdr:to>
    <xdr:grpSp>
      <xdr:nvGrpSpPr>
        <xdr:cNvPr id="34" name="组合 33"/>
        <xdr:cNvGrpSpPr/>
      </xdr:nvGrpSpPr>
      <xdr:grpSpPr>
        <a:xfrm>
          <a:off x="5897880" y="3342640"/>
          <a:ext cx="2883535" cy="2484120"/>
          <a:chOff x="8639" y="5414"/>
          <a:chExt cx="4410" cy="3347"/>
        </a:xfrm>
      </xdr:grpSpPr>
      <xdr:grpSp>
        <xdr:nvGrpSpPr>
          <xdr:cNvPr id="35" name="组合 32"/>
          <xdr:cNvGrpSpPr/>
        </xdr:nvGrpSpPr>
        <xdr:grpSpPr>
          <a:xfrm>
            <a:off x="8721" y="6083"/>
            <a:ext cx="4328" cy="2678"/>
            <a:chOff x="11007" y="5362"/>
            <a:chExt cx="4828" cy="2710"/>
          </a:xfrm>
        </xdr:grpSpPr>
        <xdr:cxnSp>
          <xdr:nvCxnSpPr>
            <xdr:cNvPr id="36" name="直接连接符 35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37" name="直接连接符 36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38" name="直接连接符 37"/>
            <xdr:cNvCxnSpPr/>
          </xdr:nvCxnSpPr>
          <xdr:spPr>
            <a:xfrm>
              <a:off x="11007" y="807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>
        <xdr:nvSpPr>
          <xdr:cNvPr id="39" name="文本框 38"/>
          <xdr:cNvSpPr txBox="1"/>
        </xdr:nvSpPr>
        <xdr:spPr>
          <a:xfrm>
            <a:off x="8639" y="5414"/>
            <a:ext cx="3945" cy="650"/>
          </a:xfrm>
          <a:prstGeom prst="rect">
            <a:avLst/>
          </a:prstGeom>
          <a:noFill/>
        </xdr:spPr>
        <xdr:txBody>
          <a:bodyPr wrap="square" rtlCol="0" anchor="ctr" anchorCtr="0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00">
                <a:latin typeface="思源黑体 CN Heavy" panose="020B0A00000000000000" charset="-122"/>
                <a:ea typeface="思源黑体 CN Heavy" panose="020B0A00000000000000" charset="-122"/>
                <a:cs typeface="思源黑体 CN Heavy" panose="020B0A00000000000000" charset="-122"/>
                <a:sym typeface="Times New Roman" panose="02020503050405090304" pitchFamily="12"/>
              </a:rPr>
              <a:t>思源黑体 CN Heavy/</a:t>
            </a:r>
            <a:r>
              <a:rPr lang="en-US" altLang="zh-CN" sz="1200" kern="100">
                <a:latin typeface="思源黑体 CN Bold" panose="020B0800000000000000" charset="-122"/>
                <a:ea typeface="思源黑体 CN Bold" panose="020B0800000000000000" charset="-122"/>
                <a:cs typeface="思源黑体 CN Heavy" panose="020B0A00000000000000" charset="-122"/>
                <a:sym typeface="Times New Roman" panose="02020503050405090304" pitchFamily="12"/>
              </a:rPr>
              <a:t>Bold</a:t>
            </a:r>
            <a:endParaRPr lang="en-US" altLang="zh-CN" sz="1200" kern="100">
              <a:latin typeface="思源黑体 CN Bold" panose="020B0800000000000000" charset="-122"/>
              <a:ea typeface="思源黑体 CN Bold" panose="020B0800000000000000" charset="-122"/>
              <a:cs typeface="思源黑体 CN Heavy" panose="020B0A00000000000000" charset="-12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10</xdr:col>
      <xdr:colOff>366395</xdr:colOff>
      <xdr:row>38</xdr:row>
      <xdr:rowOff>89535</xdr:rowOff>
    </xdr:from>
    <xdr:to>
      <xdr:col>15</xdr:col>
      <xdr:colOff>278130</xdr:colOff>
      <xdr:row>44</xdr:row>
      <xdr:rowOff>31750</xdr:rowOff>
    </xdr:to>
    <xdr:grpSp>
      <xdr:nvGrpSpPr>
        <xdr:cNvPr id="40" name="组合 39"/>
        <xdr:cNvGrpSpPr/>
      </xdr:nvGrpSpPr>
      <xdr:grpSpPr>
        <a:xfrm>
          <a:off x="5615940" y="7884795"/>
          <a:ext cx="3074035" cy="1222375"/>
          <a:chOff x="8229" y="8931"/>
          <a:chExt cx="4694" cy="1743"/>
        </a:xfrm>
      </xdr:grpSpPr>
      <xdr:sp>
        <xdr:nvSpPr>
          <xdr:cNvPr id="41" name="文本框 40"/>
          <xdr:cNvSpPr txBox="1"/>
        </xdr:nvSpPr>
        <xdr:spPr>
          <a:xfrm>
            <a:off x="8229" y="8931"/>
            <a:ext cx="3118" cy="8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03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endParaRPr>
          </a:p>
        </xdr:txBody>
      </xdr:sp>
      <xdr:sp>
        <xdr:nvSpPr>
          <xdr:cNvPr id="42" name="文本框 41"/>
          <xdr:cNvSpPr txBox="1"/>
        </xdr:nvSpPr>
        <xdr:spPr>
          <a:xfrm>
            <a:off x="8557" y="10194"/>
            <a:ext cx="4366" cy="48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图片：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503050405090304" pitchFamily="12"/>
                <a:sym typeface="Times New Roman" panose="02020503050405090304" pitchFamily="12"/>
              </a:rPr>
              <a:t>无</a:t>
            </a:r>
            <a:endParaRPr lang="en-US" altLang="zh-CN" sz="900" b="1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endParaRPr>
          </a:p>
        </xdr:txBody>
      </xdr:sp>
    </xdr:grpSp>
    <xdr:clientData/>
  </xdr:twoCellAnchor>
  <xdr:twoCellAnchor>
    <xdr:from>
      <xdr:col>11</xdr:col>
      <xdr:colOff>1905</xdr:colOff>
      <xdr:row>20</xdr:row>
      <xdr:rowOff>91440</xdr:rowOff>
    </xdr:from>
    <xdr:to>
      <xdr:col>12</xdr:col>
      <xdr:colOff>474345</xdr:colOff>
      <xdr:row>22</xdr:row>
      <xdr:rowOff>22860</xdr:rowOff>
    </xdr:to>
    <xdr:sp>
      <xdr:nvSpPr>
        <xdr:cNvPr id="43" name="文本框 42"/>
        <xdr:cNvSpPr txBox="1"/>
      </xdr:nvSpPr>
      <xdr:spPr>
        <a:xfrm>
          <a:off x="5883910" y="4046220"/>
          <a:ext cx="1104900" cy="3581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rPr>
            <a:t>中文｜字体名称</a:t>
          </a:r>
          <a:endParaRPr lang="en-US" altLang="zh-CN" sz="900" kern="12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Times New Roman" panose="02020503050405090304" pitchFamily="12"/>
            <a:sym typeface="Times New Roman" panose="02020503050405090304" pitchFamily="12"/>
          </a:endParaRPr>
        </a:p>
      </xdr:txBody>
    </xdr:sp>
    <xdr:clientData/>
  </xdr:twoCellAnchor>
  <xdr:twoCellAnchor>
    <xdr:from>
      <xdr:col>10</xdr:col>
      <xdr:colOff>582295</xdr:colOff>
      <xdr:row>21</xdr:row>
      <xdr:rowOff>111760</xdr:rowOff>
    </xdr:from>
    <xdr:to>
      <xdr:col>14</xdr:col>
      <xdr:colOff>427355</xdr:colOff>
      <xdr:row>23</xdr:row>
      <xdr:rowOff>161925</xdr:rowOff>
    </xdr:to>
    <xdr:sp>
      <xdr:nvSpPr>
        <xdr:cNvPr id="44" name="文本框 43"/>
        <xdr:cNvSpPr txBox="1"/>
      </xdr:nvSpPr>
      <xdr:spPr>
        <a:xfrm>
          <a:off x="5831840" y="4279900"/>
          <a:ext cx="2374900" cy="476885"/>
        </a:xfrm>
        <a:prstGeom prst="rect">
          <a:avLst/>
        </a:prstGeom>
        <a:noFill/>
      </xdr:spPr>
      <xdr:txBody>
        <a:bodyPr wrap="square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endParaRPr lang="en-US" altLang="zh-CN" sz="1200" kern="100">
            <a:solidFill>
              <a:sysClr val="windowText" lastClr="000000"/>
            </a:solidFill>
            <a:latin typeface="Calibri" panose="020F0502020204030204"/>
            <a:ea typeface="宋体" panose="02010600030101010101" pitchFamily="7" charset="-122"/>
            <a:cs typeface="Times New Roman" panose="02020503050405090304" pitchFamily="12"/>
            <a:sym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57785</xdr:colOff>
      <xdr:row>25</xdr:row>
      <xdr:rowOff>33020</xdr:rowOff>
    </xdr:from>
    <xdr:to>
      <xdr:col>12</xdr:col>
      <xdr:colOff>530225</xdr:colOff>
      <xdr:row>26</xdr:row>
      <xdr:rowOff>139700</xdr:rowOff>
    </xdr:to>
    <xdr:sp>
      <xdr:nvSpPr>
        <xdr:cNvPr id="45" name="文本框 44"/>
        <xdr:cNvSpPr txBox="1"/>
      </xdr:nvSpPr>
      <xdr:spPr>
        <a:xfrm>
          <a:off x="5939790" y="5054600"/>
          <a:ext cx="1104900" cy="32004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503050405090304" pitchFamily="12"/>
              <a:sym typeface="Times New Roman" panose="02020503050405090304" pitchFamily="12"/>
            </a:rPr>
            <a:t>中文｜字体名称</a:t>
          </a:r>
          <a:endParaRPr lang="en-US" altLang="zh-CN" sz="900" kern="12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Times New Roman" panose="02020503050405090304" pitchFamily="12"/>
            <a:sym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53975</xdr:colOff>
      <xdr:row>26</xdr:row>
      <xdr:rowOff>86360</xdr:rowOff>
    </xdr:from>
    <xdr:to>
      <xdr:col>14</xdr:col>
      <xdr:colOff>508635</xdr:colOff>
      <xdr:row>28</xdr:row>
      <xdr:rowOff>136525</xdr:rowOff>
    </xdr:to>
    <xdr:sp>
      <xdr:nvSpPr>
        <xdr:cNvPr id="46" name="文本框 45"/>
        <xdr:cNvSpPr txBox="1"/>
      </xdr:nvSpPr>
      <xdr:spPr>
        <a:xfrm>
          <a:off x="5935980" y="5321300"/>
          <a:ext cx="2352040" cy="476885"/>
        </a:xfrm>
        <a:prstGeom prst="rect">
          <a:avLst/>
        </a:prstGeom>
        <a:noFill/>
      </xdr:spPr>
      <xdr:txBody>
        <a:bodyPr wrap="square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endParaRPr lang="en-US" altLang="zh-CN" sz="1200" kern="100">
            <a:solidFill>
              <a:sysClr val="windowText" lastClr="000000"/>
            </a:solidFill>
            <a:latin typeface="Calibri" panose="020F0502020204030204"/>
            <a:ea typeface="宋体" panose="02010600030101010101" pitchFamily="7" charset="-122"/>
            <a:cs typeface="Times New Roman" panose="02020503050405090304" pitchFamily="12"/>
            <a:sym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45085</xdr:colOff>
      <xdr:row>21</xdr:row>
      <xdr:rowOff>121920</xdr:rowOff>
    </xdr:from>
    <xdr:to>
      <xdr:col>15</xdr:col>
      <xdr:colOff>104140</xdr:colOff>
      <xdr:row>23</xdr:row>
      <xdr:rowOff>172085</xdr:rowOff>
    </xdr:to>
    <xdr:sp>
      <xdr:nvSpPr>
        <xdr:cNvPr id="47" name="文本框 46"/>
        <xdr:cNvSpPr txBox="1"/>
      </xdr:nvSpPr>
      <xdr:spPr>
        <a:xfrm>
          <a:off x="5927090" y="4290060"/>
          <a:ext cx="2588895" cy="476885"/>
        </a:xfrm>
        <a:prstGeom prst="rect">
          <a:avLst/>
        </a:prstGeom>
        <a:noFill/>
      </xdr:spPr>
      <xdr:txBody>
        <a:bodyPr wrap="square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en-US" altLang="zh-CN" sz="1200" kern="100">
              <a:latin typeface="思源黑体 CN Medium" panose="020B0600000000000000" charset="-122"/>
              <a:ea typeface="思源黑体 CN Medium" panose="020B0600000000000000" charset="-122"/>
              <a:cs typeface="思源黑体 CN Medium" panose="020B0600000000000000" charset="-122"/>
              <a:sym typeface="Times New Roman" panose="02020503050405090304" pitchFamily="12"/>
            </a:rPr>
            <a:t>思源黑体 CN Medium</a:t>
          </a:r>
          <a:endParaRPr lang="en-US" altLang="zh-CN" sz="1200" kern="100">
            <a:latin typeface="思源黑体 CN Medium" panose="020B0600000000000000" charset="-122"/>
            <a:ea typeface="思源黑体 CN Medium" panose="020B0600000000000000" charset="-122"/>
            <a:cs typeface="思源黑体 CN Medium" panose="020B0600000000000000" charset="-122"/>
            <a:sym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67945</xdr:colOff>
      <xdr:row>26</xdr:row>
      <xdr:rowOff>76200</xdr:rowOff>
    </xdr:from>
    <xdr:to>
      <xdr:col>15</xdr:col>
      <xdr:colOff>127000</xdr:colOff>
      <xdr:row>28</xdr:row>
      <xdr:rowOff>126365</xdr:rowOff>
    </xdr:to>
    <xdr:sp>
      <xdr:nvSpPr>
        <xdr:cNvPr id="48" name="文本框 47"/>
        <xdr:cNvSpPr txBox="1"/>
      </xdr:nvSpPr>
      <xdr:spPr>
        <a:xfrm>
          <a:off x="5949950" y="5311140"/>
          <a:ext cx="2588895" cy="476885"/>
        </a:xfrm>
        <a:prstGeom prst="rect">
          <a:avLst/>
        </a:prstGeom>
        <a:noFill/>
      </xdr:spPr>
      <xdr:txBody>
        <a:bodyPr wrap="square" rtlCol="0" anchor="ctr" anchorCtr="0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algn="l" eaLnBrk="1"/>
          <a:r>
            <a:rPr lang="en-US" altLang="zh-CN" sz="1200" kern="100">
              <a:latin typeface="思源黑体 CN Regular" panose="020B0500000000000000" charset="-122"/>
              <a:ea typeface="思源黑体 CN Regular" panose="020B0500000000000000" charset="-122"/>
              <a:cs typeface="思源黑体 CN Regular" panose="020B0500000000000000" charset="-122"/>
              <a:sym typeface="Times New Roman" panose="02020503050405090304" pitchFamily="12"/>
            </a:rPr>
            <a:t>思源黑体 CN Regular</a:t>
          </a:r>
          <a:endParaRPr lang="en-US" altLang="zh-CN" sz="1200" kern="100">
            <a:latin typeface="思源黑体 CN Regular" panose="020B0500000000000000" charset="-122"/>
            <a:ea typeface="思源黑体 CN Regular" panose="020B0500000000000000" charset="-122"/>
            <a:cs typeface="思源黑体 CN Regular" panose="020B0500000000000000" charset="-122"/>
            <a:sym typeface="Times New Roman" panose="02020503050405090304" pitchFamily="12"/>
          </a:endParaRPr>
        </a:p>
      </xdr:txBody>
    </xdr:sp>
    <xdr:clientData/>
  </xdr:twoCellAnchor>
  <xdr:twoCellAnchor>
    <xdr:from>
      <xdr:col>2</xdr:col>
      <xdr:colOff>345440</xdr:colOff>
      <xdr:row>39</xdr:row>
      <xdr:rowOff>129540</xdr:rowOff>
    </xdr:from>
    <xdr:to>
      <xdr:col>8</xdr:col>
      <xdr:colOff>245110</xdr:colOff>
      <xdr:row>48</xdr:row>
      <xdr:rowOff>7620</xdr:rowOff>
    </xdr:to>
    <xdr:grpSp>
      <xdr:nvGrpSpPr>
        <xdr:cNvPr id="49" name="组合 77"/>
        <xdr:cNvGrpSpPr/>
      </xdr:nvGrpSpPr>
      <xdr:grpSpPr>
        <a:xfrm>
          <a:off x="535305" y="8138160"/>
          <a:ext cx="3694430" cy="1798320"/>
          <a:chOff x="7151" y="10255"/>
          <a:chExt cx="5602" cy="2344"/>
        </a:xfrm>
      </xdr:grpSpPr>
      <xdr:sp>
        <xdr:nvSpPr>
          <xdr:cNvPr id="50" name="文本框 49"/>
          <xdr:cNvSpPr txBox="1"/>
        </xdr:nvSpPr>
        <xdr:spPr>
          <a:xfrm>
            <a:off x="7151" y="10255"/>
            <a:ext cx="4057" cy="37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·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客户往来对账单说明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  <xdr:sp>
        <xdr:nvSpPr>
          <xdr:cNvPr id="51" name="文本框 50"/>
          <xdr:cNvSpPr txBox="1"/>
        </xdr:nvSpPr>
        <xdr:spPr>
          <a:xfrm>
            <a:off x="7197" y="10856"/>
            <a:ext cx="5556" cy="1743"/>
          </a:xfrm>
          <a:prstGeom prst="rect">
            <a:avLst/>
          </a:prstGeom>
          <a:noFill/>
        </xdr:spPr>
        <xdr:txBody>
          <a:bodyPr wrap="square" rtlCol="0" anchor="ctr" anchorCtr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1</a:t>
            </a: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、第一步设置在订单汇总统计设置本期订货单号和订单日期信息</a:t>
            </a:r>
            <a:endParaRPr lang="zh-CN" altLang="en-US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2</a:t>
            </a: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、第二步在订单明细处设置订单明细信息，订货单号下拉选择，金额（元）自动计算</a:t>
            </a:r>
            <a:endParaRPr lang="zh-CN" altLang="en-US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3</a:t>
            </a: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、订单汇总表中的订单总额根据订单明细表中信息计算</a:t>
            </a:r>
            <a:endParaRPr lang="zh-CN" altLang="en-US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4、付款明细中订货单号下拉选择</a:t>
            </a:r>
            <a:endParaRPr lang="zh-CN" altLang="en-US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5、单汇总表中的订单总额根据付款明细表中信息计算</a:t>
            </a:r>
            <a:endParaRPr lang="zh-CN" altLang="en-US" sz="900" b="1" kern="1200">
              <a:solidFill>
                <a:srgbClr val="FF283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  <a:buClrTx/>
              <a:buSzTx/>
              <a:buFontTx/>
            </a:pP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6、订单汇总统计中未付款自动计算</a:t>
            </a:r>
            <a:endParaRPr lang="zh-CN" altLang="en-US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  <a:p>
            <a:pPr marL="0" algn="l" eaLnBrk="1" fontAlgn="t">
              <a:lnSpc>
                <a:spcPct val="100000"/>
              </a:lnSpc>
              <a:buClrTx/>
              <a:buSzTx/>
              <a:buFontTx/>
            </a:pPr>
            <a:r>
              <a:rPr lang="en-US" altLang="zh-CN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7</a:t>
            </a:r>
            <a:r>
              <a:rPr lang="zh-CN" altLang="en-US" sz="900" kern="1200">
                <a:solidFill>
                  <a:schemeClr val="tx1">
                    <a:alpha val="60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503050405090304" pitchFamily="12"/>
              </a:rPr>
              <a:t>、上方统计数据自动</a:t>
            </a:r>
            <a:endParaRPr lang="en-US" altLang="zh-CN" sz="900" kern="1200">
              <a:solidFill>
                <a:schemeClr val="tx1">
                  <a:alpha val="60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503050405090304" pitchFamily="12"/>
            </a:endParaRPr>
          </a:p>
        </xdr:txBody>
      </xdr:sp>
    </xdr:grpSp>
    <xdr:clientData/>
  </xdr:twoCellAnchor>
  <xdr:twoCellAnchor>
    <xdr:from>
      <xdr:col>2</xdr:col>
      <xdr:colOff>438150</xdr:colOff>
      <xdr:row>49</xdr:row>
      <xdr:rowOff>41275</xdr:rowOff>
    </xdr:from>
    <xdr:to>
      <xdr:col>10</xdr:col>
      <xdr:colOff>66040</xdr:colOff>
      <xdr:row>62</xdr:row>
      <xdr:rowOff>176530</xdr:rowOff>
    </xdr:to>
    <xdr:pic>
      <xdr:nvPicPr>
        <xdr:cNvPr id="54" name="图片 53"/>
        <xdr:cNvPicPr>
          <a:picLocks noChangeAspect="1"/>
        </xdr:cNvPicPr>
      </xdr:nvPicPr>
      <xdr:blipFill>
        <a:blip r:embed="rId3"/>
        <a:srcRect b="11591"/>
        <a:stretch>
          <a:fillRect/>
        </a:stretch>
      </xdr:blipFill>
      <xdr:spPr>
        <a:xfrm>
          <a:off x="628015" y="10183495"/>
          <a:ext cx="4687570" cy="2908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08"/>
  <sheetViews>
    <sheetView showGridLines="0" tabSelected="1" workbookViewId="0">
      <selection activeCell="X13" sqref="X13"/>
    </sheetView>
  </sheetViews>
  <sheetFormatPr defaultColWidth="9" defaultRowHeight="26" customHeight="1"/>
  <cols>
    <col min="1" max="1" width="2.55357142857143" style="3" customWidth="1"/>
    <col min="2" max="2" width="0.669642857142857" style="5" customWidth="1"/>
    <col min="3" max="3" width="3.77678571428571" style="4" customWidth="1"/>
    <col min="4" max="4" width="10.7767857142857" style="4" customWidth="1"/>
    <col min="5" max="5" width="12.7767857142857" style="6" customWidth="1"/>
    <col min="6" max="8" width="11.7767857142857" style="7" customWidth="1"/>
    <col min="9" max="9" width="0.892857142857143" style="6" customWidth="1"/>
    <col min="10" max="10" width="10.7767857142857" style="4" customWidth="1"/>
    <col min="11" max="11" width="17.4464285714286" style="4" customWidth="1"/>
    <col min="12" max="13" width="6.44642857142857" style="4" customWidth="1"/>
    <col min="14" max="15" width="11.7767857142857" style="7" customWidth="1"/>
    <col min="16" max="16" width="14.6696428571429" style="4" customWidth="1"/>
    <col min="17" max="17" width="0.892857142857143" style="6" customWidth="1"/>
    <col min="18" max="18" width="13.2767857142857" style="6" customWidth="1"/>
    <col min="19" max="19" width="10.7767857142857" style="4" customWidth="1"/>
    <col min="20" max="20" width="11.7767857142857" style="7" customWidth="1"/>
    <col min="21" max="21" width="3.77678571428571" style="4" customWidth="1"/>
    <col min="22" max="22" width="0.553571428571429" style="5" customWidth="1"/>
    <col min="23" max="23" width="2.55357142857143" style="3" customWidth="1"/>
    <col min="24" max="16384" width="9" style="4"/>
  </cols>
  <sheetData>
    <row r="1" s="3" customFormat="1" ht="12" customHeight="1" spans="1:23">
      <c r="A1" s="8"/>
      <c r="B1" s="9"/>
      <c r="C1" s="8"/>
      <c r="D1" s="8"/>
      <c r="E1" s="8"/>
      <c r="F1" s="8"/>
      <c r="G1" s="8"/>
      <c r="H1" s="8"/>
      <c r="I1" s="10"/>
      <c r="J1" s="8"/>
      <c r="K1" s="8"/>
      <c r="L1" s="8"/>
      <c r="M1" s="8"/>
      <c r="N1" s="8"/>
      <c r="O1" s="8" t="s">
        <v>0</v>
      </c>
      <c r="P1" s="8"/>
      <c r="Q1" s="10"/>
      <c r="R1" s="10"/>
      <c r="S1" s="8"/>
      <c r="T1" s="8"/>
      <c r="U1" s="8"/>
      <c r="V1" s="8"/>
      <c r="W1" s="8"/>
    </row>
    <row r="2" s="3" customFormat="1" ht="4" customHeight="1" spans="1:23">
      <c r="A2" s="8"/>
      <c r="B2" s="9"/>
      <c r="C2" s="11"/>
      <c r="D2" s="12"/>
      <c r="E2" s="12"/>
      <c r="F2" s="12"/>
      <c r="G2" s="12"/>
      <c r="H2" s="12"/>
      <c r="I2" s="13"/>
      <c r="J2" s="12"/>
      <c r="K2" s="12"/>
      <c r="L2" s="12"/>
      <c r="M2" s="12"/>
      <c r="N2" s="12"/>
      <c r="O2" s="12"/>
      <c r="P2" s="12"/>
      <c r="Q2" s="13"/>
      <c r="R2" s="13"/>
      <c r="S2" s="12"/>
      <c r="T2" s="12"/>
      <c r="U2" s="12"/>
      <c r="V2" s="8"/>
      <c r="W2" s="8"/>
    </row>
    <row r="3" s="4" customFormat="1" ht="12" customHeight="1" spans="1:23">
      <c r="A3" s="8"/>
      <c r="B3" s="14"/>
      <c r="C3" s="15"/>
      <c r="D3" s="15"/>
      <c r="E3" s="15"/>
      <c r="F3" s="15"/>
      <c r="G3" s="15"/>
      <c r="H3" s="15"/>
      <c r="I3" s="16"/>
      <c r="J3" s="15"/>
      <c r="K3" s="15"/>
      <c r="L3" s="15"/>
      <c r="M3" s="15"/>
      <c r="N3" s="15"/>
      <c r="O3" s="15"/>
      <c r="P3" s="15"/>
      <c r="Q3" s="16"/>
      <c r="R3" s="16"/>
      <c r="S3" s="15"/>
      <c r="T3" s="15"/>
      <c r="U3" s="15"/>
      <c r="V3" s="17"/>
      <c r="W3" s="8"/>
    </row>
    <row r="4" s="4" customFormat="1" ht="30" customHeight="1" spans="1:23">
      <c r="A4" s="8"/>
      <c r="B4" s="14"/>
      <c r="C4" s="15"/>
      <c r="D4" s="15"/>
      <c r="E4" s="18" t="s">
        <v>1</v>
      </c>
      <c r="F4" s="18"/>
      <c r="G4" s="18"/>
      <c r="H4" s="19">
        <f>SUM(F13:F1000)</f>
        <v>153351</v>
      </c>
      <c r="I4" s="19"/>
      <c r="J4" s="19"/>
      <c r="K4" s="19">
        <f>SUM(G13:G1000)</f>
        <v>108546</v>
      </c>
      <c r="L4" s="19">
        <f>SUM(H13:H1000)</f>
        <v>44805</v>
      </c>
      <c r="M4" s="19"/>
      <c r="N4" s="19"/>
      <c r="O4" s="15"/>
      <c r="P4" s="15"/>
      <c r="Q4" s="16"/>
      <c r="R4" s="20" t="s">
        <v>2</v>
      </c>
      <c r="S4" s="20"/>
      <c r="T4" s="20"/>
      <c r="U4" s="15"/>
      <c r="V4" s="17"/>
      <c r="W4" s="8"/>
    </row>
    <row r="5" s="4" customFormat="1" ht="22" customHeight="1" spans="1:23">
      <c r="A5" s="8"/>
      <c r="B5" s="14"/>
      <c r="C5" s="15"/>
      <c r="D5" s="15"/>
      <c r="E5" s="21" t="s">
        <v>3</v>
      </c>
      <c r="F5" s="21"/>
      <c r="G5" s="21"/>
      <c r="H5" s="22" t="s">
        <v>4</v>
      </c>
      <c r="I5" s="22"/>
      <c r="J5" s="22"/>
      <c r="K5" s="22" t="s">
        <v>5</v>
      </c>
      <c r="L5" s="22" t="s">
        <v>6</v>
      </c>
      <c r="M5" s="22"/>
      <c r="N5" s="22"/>
      <c r="O5" s="15"/>
      <c r="P5" s="23" t="s">
        <v>7</v>
      </c>
      <c r="Q5" s="23"/>
      <c r="R5" s="23"/>
      <c r="S5" s="23"/>
      <c r="T5" s="23"/>
      <c r="U5" s="15"/>
      <c r="V5" s="17"/>
      <c r="W5" s="8"/>
    </row>
    <row r="6" s="4" customFormat="1" ht="12" customHeight="1" spans="1:23">
      <c r="A6" s="8"/>
      <c r="B6" s="14"/>
      <c r="C6" s="15"/>
      <c r="D6" s="15"/>
      <c r="E6" s="15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6"/>
      <c r="R6" s="16"/>
      <c r="S6" s="15"/>
      <c r="T6" s="15"/>
      <c r="U6" s="15"/>
      <c r="V6" s="17"/>
      <c r="W6" s="8"/>
    </row>
    <row r="7" s="4" customFormat="1" ht="12" customHeight="1" spans="1:23">
      <c r="A7" s="8"/>
      <c r="B7" s="14"/>
      <c r="C7" s="24"/>
      <c r="D7" s="24"/>
      <c r="E7" s="24"/>
      <c r="F7" s="24"/>
      <c r="G7" s="24"/>
      <c r="H7" s="24"/>
      <c r="I7" s="25"/>
      <c r="J7" s="24"/>
      <c r="K7" s="24"/>
      <c r="L7" s="24"/>
      <c r="M7" s="24"/>
      <c r="N7" s="24"/>
      <c r="O7" s="24"/>
      <c r="P7" s="24"/>
      <c r="Q7" s="25"/>
      <c r="R7" s="25"/>
      <c r="S7" s="24"/>
      <c r="T7" s="24"/>
      <c r="U7" s="24"/>
      <c r="V7" s="17"/>
      <c r="W7" s="8"/>
    </row>
    <row r="8" s="4" customFormat="1" customHeight="1" spans="1:23">
      <c r="A8" s="8"/>
      <c r="B8" s="14"/>
      <c r="C8" s="24"/>
      <c r="D8" s="26" t="s">
        <v>8</v>
      </c>
      <c r="E8" s="27" t="s">
        <v>9</v>
      </c>
      <c r="F8" s="27"/>
      <c r="G8" s="27"/>
      <c r="H8" s="27"/>
      <c r="I8" s="28"/>
      <c r="J8" s="29" t="s">
        <v>10</v>
      </c>
      <c r="K8" s="30" t="s">
        <v>11</v>
      </c>
      <c r="L8" s="31" t="s">
        <v>12</v>
      </c>
      <c r="M8" s="31"/>
      <c r="N8" s="27" t="s">
        <v>13</v>
      </c>
      <c r="O8" s="27"/>
      <c r="P8" s="27"/>
      <c r="R8" s="31" t="s">
        <v>14</v>
      </c>
      <c r="S8" s="27" t="s">
        <v>15</v>
      </c>
      <c r="T8" s="27"/>
      <c r="U8" s="24"/>
      <c r="V8" s="17"/>
      <c r="W8" s="8"/>
    </row>
    <row r="9" s="4" customFormat="1" customHeight="1" spans="1:23">
      <c r="A9" s="8"/>
      <c r="B9" s="14"/>
      <c r="C9" s="24"/>
      <c r="D9" s="26" t="s">
        <v>16</v>
      </c>
      <c r="E9" s="27" t="s">
        <v>17</v>
      </c>
      <c r="F9" s="27"/>
      <c r="G9" s="27"/>
      <c r="H9" s="27"/>
      <c r="I9" s="25"/>
      <c r="J9" s="26" t="s">
        <v>18</v>
      </c>
      <c r="K9" s="27" t="s">
        <v>19</v>
      </c>
      <c r="L9" s="26" t="s">
        <v>20</v>
      </c>
      <c r="M9" s="26"/>
      <c r="N9" s="27" t="s">
        <v>21</v>
      </c>
      <c r="O9" s="27"/>
      <c r="P9" s="27"/>
      <c r="Q9" s="25"/>
      <c r="R9" s="31" t="s">
        <v>22</v>
      </c>
      <c r="S9" s="27" t="s">
        <v>23</v>
      </c>
      <c r="T9" s="27"/>
      <c r="U9" s="24"/>
      <c r="V9" s="17"/>
      <c r="W9" s="8"/>
    </row>
    <row r="10" s="4" customFormat="1" ht="12" customHeight="1" spans="1:23">
      <c r="A10" s="8"/>
      <c r="B10" s="14"/>
      <c r="C10" s="24"/>
      <c r="D10" s="24"/>
      <c r="E10" s="24"/>
      <c r="F10" s="24"/>
      <c r="G10" s="24"/>
      <c r="H10" s="24"/>
      <c r="I10" s="25"/>
      <c r="J10" s="24"/>
      <c r="K10" s="24"/>
      <c r="L10" s="24"/>
      <c r="M10" s="24"/>
      <c r="N10" s="24"/>
      <c r="O10" s="24"/>
      <c r="P10" s="24"/>
      <c r="Q10" s="25"/>
      <c r="R10" s="25"/>
      <c r="S10" s="24"/>
      <c r="T10" s="24"/>
      <c r="U10" s="24"/>
      <c r="V10" s="17"/>
      <c r="W10" s="8"/>
    </row>
    <row r="11" s="4" customFormat="1" customHeight="1" spans="1:23">
      <c r="A11" s="32"/>
      <c r="B11" s="33"/>
      <c r="C11" s="24"/>
      <c r="D11" s="34" t="s">
        <v>24</v>
      </c>
      <c r="E11" s="34"/>
      <c r="F11" s="34"/>
      <c r="G11" s="34"/>
      <c r="H11" s="34"/>
      <c r="I11" s="25"/>
      <c r="J11" s="35" t="s">
        <v>25</v>
      </c>
      <c r="K11" s="36"/>
      <c r="L11" s="36"/>
      <c r="M11" s="36"/>
      <c r="N11" s="36"/>
      <c r="O11" s="36"/>
      <c r="P11" s="37"/>
      <c r="Q11" s="25"/>
      <c r="R11" s="34" t="s">
        <v>26</v>
      </c>
      <c r="S11" s="34"/>
      <c r="T11" s="34"/>
      <c r="U11" s="24"/>
      <c r="V11" s="38"/>
      <c r="W11" s="32"/>
    </row>
    <row r="12" s="4" customFormat="1" customHeight="1" spans="1:23">
      <c r="A12" s="8"/>
      <c r="B12" s="14"/>
      <c r="C12" s="24"/>
      <c r="D12" s="39" t="s">
        <v>27</v>
      </c>
      <c r="E12" s="39" t="s">
        <v>28</v>
      </c>
      <c r="F12" s="39" t="s">
        <v>29</v>
      </c>
      <c r="G12" s="39" t="s">
        <v>30</v>
      </c>
      <c r="H12" s="39" t="s">
        <v>31</v>
      </c>
      <c r="I12" s="40"/>
      <c r="J12" s="41" t="s">
        <v>27</v>
      </c>
      <c r="K12" s="41" t="s">
        <v>32</v>
      </c>
      <c r="L12" s="41" t="s">
        <v>33</v>
      </c>
      <c r="M12" s="41" t="s">
        <v>34</v>
      </c>
      <c r="N12" s="41" t="s">
        <v>35</v>
      </c>
      <c r="O12" s="41" t="s">
        <v>36</v>
      </c>
      <c r="P12" s="41" t="s">
        <v>37</v>
      </c>
      <c r="Q12" s="40"/>
      <c r="R12" s="42" t="s">
        <v>38</v>
      </c>
      <c r="S12" s="39" t="s">
        <v>27</v>
      </c>
      <c r="T12" s="39" t="s">
        <v>39</v>
      </c>
      <c r="U12" s="24"/>
      <c r="V12" s="17"/>
      <c r="W12" s="8"/>
    </row>
    <row r="13" s="4" customFormat="1" customHeight="1" spans="1:23">
      <c r="A13" s="8"/>
      <c r="B13" s="14"/>
      <c r="C13" s="24"/>
      <c r="D13" s="43" t="s">
        <v>40</v>
      </c>
      <c r="E13" s="44">
        <v>44744</v>
      </c>
      <c r="F13" s="45">
        <f>SUMIFS($O$13:$O$1000,$J$13:$J$1000,$D13)</f>
        <v>12384</v>
      </c>
      <c r="G13" s="45">
        <f>SUMIFS($T$13:$T$1000,$S$13:$S$1000,$D13)</f>
        <v>12384</v>
      </c>
      <c r="H13" s="45">
        <f>F13-G13</f>
        <v>0</v>
      </c>
      <c r="I13" s="25"/>
      <c r="J13" s="43" t="s">
        <v>40</v>
      </c>
      <c r="K13" s="43" t="s">
        <v>41</v>
      </c>
      <c r="L13" s="43" t="s">
        <v>42</v>
      </c>
      <c r="M13" s="43">
        <v>6</v>
      </c>
      <c r="N13" s="45">
        <v>1219</v>
      </c>
      <c r="O13" s="45">
        <f>M13*N13</f>
        <v>7314</v>
      </c>
      <c r="P13" s="43"/>
      <c r="Q13" s="25"/>
      <c r="R13" s="44">
        <v>44762</v>
      </c>
      <c r="S13" s="43" t="s">
        <v>40</v>
      </c>
      <c r="T13" s="45">
        <f t="shared" ref="T13:T19" si="0">SUMIFS($O$13:$O$1000,$J$13:$J$1000,$D13)</f>
        <v>12384</v>
      </c>
      <c r="U13" s="24"/>
      <c r="V13" s="17"/>
      <c r="W13" s="8"/>
    </row>
    <row r="14" s="4" customFormat="1" customHeight="1" spans="1:23">
      <c r="A14" s="8"/>
      <c r="B14" s="14"/>
      <c r="C14" s="24"/>
      <c r="D14" s="43" t="s">
        <v>43</v>
      </c>
      <c r="E14" s="44">
        <v>44746</v>
      </c>
      <c r="F14" s="45">
        <f t="shared" ref="F14:F27" si="1">SUMIFS($O$13:$O$1000,$J$13:$J$1000,$D14)</f>
        <v>14870</v>
      </c>
      <c r="G14" s="45">
        <f t="shared" ref="G14:G45" si="2">SUMIFS($T$13:$T$1000,$S$13:$S$1000,$D14)</f>
        <v>14870</v>
      </c>
      <c r="H14" s="45">
        <f t="shared" ref="H14:H45" si="3">F14-G14</f>
        <v>0</v>
      </c>
      <c r="I14" s="25"/>
      <c r="J14" s="43" t="s">
        <v>40</v>
      </c>
      <c r="K14" s="43" t="s">
        <v>44</v>
      </c>
      <c r="L14" s="43" t="s">
        <v>42</v>
      </c>
      <c r="M14" s="43">
        <v>2</v>
      </c>
      <c r="N14" s="45">
        <v>2535</v>
      </c>
      <c r="O14" s="45">
        <f t="shared" ref="O14:O35" si="4">M14*N14</f>
        <v>5070</v>
      </c>
      <c r="P14" s="43"/>
      <c r="Q14" s="25"/>
      <c r="R14" s="44">
        <v>44763</v>
      </c>
      <c r="S14" s="43" t="s">
        <v>43</v>
      </c>
      <c r="T14" s="45">
        <f t="shared" si="0"/>
        <v>14870</v>
      </c>
      <c r="U14" s="24"/>
      <c r="V14" s="17"/>
      <c r="W14" s="8"/>
    </row>
    <row r="15" s="4" customFormat="1" customHeight="1" spans="1:23">
      <c r="A15" s="8"/>
      <c r="B15" s="14"/>
      <c r="C15" s="24"/>
      <c r="D15" s="43" t="s">
        <v>45</v>
      </c>
      <c r="E15" s="44">
        <v>44748</v>
      </c>
      <c r="F15" s="45">
        <f t="shared" si="1"/>
        <v>5814</v>
      </c>
      <c r="G15" s="45">
        <f t="shared" si="2"/>
        <v>5814</v>
      </c>
      <c r="H15" s="45">
        <f t="shared" si="3"/>
        <v>0</v>
      </c>
      <c r="I15" s="25"/>
      <c r="J15" s="43" t="s">
        <v>43</v>
      </c>
      <c r="K15" s="43" t="s">
        <v>46</v>
      </c>
      <c r="L15" s="43" t="s">
        <v>42</v>
      </c>
      <c r="M15" s="43">
        <v>4</v>
      </c>
      <c r="N15" s="45">
        <v>1949</v>
      </c>
      <c r="O15" s="45">
        <f t="shared" si="4"/>
        <v>7796</v>
      </c>
      <c r="P15" s="43"/>
      <c r="Q15" s="25"/>
      <c r="R15" s="44">
        <v>44764</v>
      </c>
      <c r="S15" s="43" t="s">
        <v>45</v>
      </c>
      <c r="T15" s="45">
        <f t="shared" si="0"/>
        <v>5814</v>
      </c>
      <c r="U15" s="24"/>
      <c r="V15" s="17"/>
      <c r="W15" s="8"/>
    </row>
    <row r="16" s="4" customFormat="1" customHeight="1" spans="1:23">
      <c r="A16" s="8"/>
      <c r="B16" s="14"/>
      <c r="C16" s="24"/>
      <c r="D16" s="43" t="s">
        <v>47</v>
      </c>
      <c r="E16" s="44">
        <v>44750</v>
      </c>
      <c r="F16" s="45">
        <f t="shared" si="1"/>
        <v>6340</v>
      </c>
      <c r="G16" s="45">
        <f t="shared" si="2"/>
        <v>6340</v>
      </c>
      <c r="H16" s="45">
        <f t="shared" si="3"/>
        <v>0</v>
      </c>
      <c r="I16" s="25"/>
      <c r="J16" s="43" t="s">
        <v>43</v>
      </c>
      <c r="K16" s="43" t="s">
        <v>48</v>
      </c>
      <c r="L16" s="43" t="s">
        <v>42</v>
      </c>
      <c r="M16" s="43">
        <v>6</v>
      </c>
      <c r="N16" s="45">
        <v>986</v>
      </c>
      <c r="O16" s="45">
        <f t="shared" si="4"/>
        <v>5916</v>
      </c>
      <c r="P16" s="43"/>
      <c r="Q16" s="25"/>
      <c r="R16" s="44">
        <v>44765</v>
      </c>
      <c r="S16" s="43" t="s">
        <v>47</v>
      </c>
      <c r="T16" s="45">
        <f t="shared" si="0"/>
        <v>6340</v>
      </c>
      <c r="U16" s="24"/>
      <c r="V16" s="17"/>
      <c r="W16" s="8"/>
    </row>
    <row r="17" s="4" customFormat="1" customHeight="1" spans="1:23">
      <c r="A17" s="8"/>
      <c r="B17" s="14"/>
      <c r="C17" s="24"/>
      <c r="D17" s="43" t="s">
        <v>49</v>
      </c>
      <c r="E17" s="44">
        <v>44752</v>
      </c>
      <c r="F17" s="45">
        <f t="shared" si="1"/>
        <v>10828</v>
      </c>
      <c r="G17" s="45">
        <f t="shared" si="2"/>
        <v>10828</v>
      </c>
      <c r="H17" s="45">
        <f t="shared" si="3"/>
        <v>0</v>
      </c>
      <c r="I17" s="25"/>
      <c r="J17" s="43" t="s">
        <v>43</v>
      </c>
      <c r="K17" s="43" t="s">
        <v>50</v>
      </c>
      <c r="L17" s="43" t="s">
        <v>42</v>
      </c>
      <c r="M17" s="43">
        <v>2</v>
      </c>
      <c r="N17" s="45">
        <v>579</v>
      </c>
      <c r="O17" s="45">
        <f t="shared" si="4"/>
        <v>1158</v>
      </c>
      <c r="P17" s="43"/>
      <c r="Q17" s="25"/>
      <c r="R17" s="44">
        <v>44766</v>
      </c>
      <c r="S17" s="43" t="s">
        <v>49</v>
      </c>
      <c r="T17" s="45">
        <f t="shared" si="0"/>
        <v>10828</v>
      </c>
      <c r="U17" s="24"/>
      <c r="V17" s="17"/>
      <c r="W17" s="8"/>
    </row>
    <row r="18" s="4" customFormat="1" customHeight="1" spans="1:23">
      <c r="A18" s="8"/>
      <c r="B18" s="14"/>
      <c r="C18" s="24"/>
      <c r="D18" s="43" t="s">
        <v>51</v>
      </c>
      <c r="E18" s="44">
        <v>44754</v>
      </c>
      <c r="F18" s="45">
        <f t="shared" si="1"/>
        <v>22776</v>
      </c>
      <c r="G18" s="45">
        <f t="shared" si="2"/>
        <v>22776</v>
      </c>
      <c r="H18" s="45">
        <f t="shared" si="3"/>
        <v>0</v>
      </c>
      <c r="I18" s="25"/>
      <c r="J18" s="43" t="s">
        <v>45</v>
      </c>
      <c r="K18" s="43" t="s">
        <v>52</v>
      </c>
      <c r="L18" s="43" t="s">
        <v>42</v>
      </c>
      <c r="M18" s="43">
        <v>6</v>
      </c>
      <c r="N18" s="45">
        <v>969</v>
      </c>
      <c r="O18" s="45">
        <f t="shared" si="4"/>
        <v>5814</v>
      </c>
      <c r="P18" s="43"/>
      <c r="Q18" s="25"/>
      <c r="R18" s="44">
        <v>44767</v>
      </c>
      <c r="S18" s="43" t="s">
        <v>51</v>
      </c>
      <c r="T18" s="45">
        <f t="shared" si="0"/>
        <v>22776</v>
      </c>
      <c r="U18" s="24"/>
      <c r="V18" s="17"/>
      <c r="W18" s="8"/>
    </row>
    <row r="19" s="4" customFormat="1" customHeight="1" spans="1:23">
      <c r="A19" s="8"/>
      <c r="B19" s="14"/>
      <c r="C19" s="24"/>
      <c r="D19" s="43" t="s">
        <v>53</v>
      </c>
      <c r="E19" s="44">
        <v>44756</v>
      </c>
      <c r="F19" s="45">
        <f t="shared" si="1"/>
        <v>383</v>
      </c>
      <c r="G19" s="45">
        <f t="shared" si="2"/>
        <v>383</v>
      </c>
      <c r="H19" s="45">
        <f t="shared" si="3"/>
        <v>0</v>
      </c>
      <c r="I19" s="25"/>
      <c r="J19" s="43" t="s">
        <v>47</v>
      </c>
      <c r="K19" s="43" t="s">
        <v>54</v>
      </c>
      <c r="L19" s="43" t="s">
        <v>42</v>
      </c>
      <c r="M19" s="43">
        <v>6</v>
      </c>
      <c r="N19" s="45">
        <v>846</v>
      </c>
      <c r="O19" s="45">
        <f t="shared" si="4"/>
        <v>5076</v>
      </c>
      <c r="P19" s="43"/>
      <c r="Q19" s="25"/>
      <c r="R19" s="44">
        <v>44768</v>
      </c>
      <c r="S19" s="43" t="s">
        <v>53</v>
      </c>
      <c r="T19" s="45">
        <f t="shared" si="0"/>
        <v>383</v>
      </c>
      <c r="U19" s="24"/>
      <c r="V19" s="17"/>
      <c r="W19" s="8"/>
    </row>
    <row r="20" s="4" customFormat="1" customHeight="1" spans="1:23">
      <c r="A20" s="8"/>
      <c r="B20" s="14"/>
      <c r="C20" s="24"/>
      <c r="D20" s="43" t="s">
        <v>55</v>
      </c>
      <c r="E20" s="44">
        <v>44758</v>
      </c>
      <c r="F20" s="45">
        <f t="shared" si="1"/>
        <v>3603</v>
      </c>
      <c r="G20" s="45">
        <f t="shared" si="2"/>
        <v>2360</v>
      </c>
      <c r="H20" s="45">
        <f t="shared" si="3"/>
        <v>1243</v>
      </c>
      <c r="I20" s="25"/>
      <c r="J20" s="43" t="s">
        <v>47</v>
      </c>
      <c r="K20" s="43" t="s">
        <v>56</v>
      </c>
      <c r="L20" s="43" t="s">
        <v>42</v>
      </c>
      <c r="M20" s="43">
        <v>1</v>
      </c>
      <c r="N20" s="45">
        <v>1264</v>
      </c>
      <c r="O20" s="45">
        <f t="shared" si="4"/>
        <v>1264</v>
      </c>
      <c r="P20" s="43"/>
      <c r="Q20" s="25"/>
      <c r="R20" s="44">
        <v>44769</v>
      </c>
      <c r="S20" s="43" t="s">
        <v>55</v>
      </c>
      <c r="T20" s="45">
        <v>2360</v>
      </c>
      <c r="U20" s="24"/>
      <c r="V20" s="17"/>
      <c r="W20" s="8"/>
    </row>
    <row r="21" s="4" customFormat="1" customHeight="1" spans="1:23">
      <c r="A21" s="8"/>
      <c r="B21" s="14"/>
      <c r="C21" s="24"/>
      <c r="D21" s="43" t="s">
        <v>57</v>
      </c>
      <c r="E21" s="44">
        <v>44760</v>
      </c>
      <c r="F21" s="45">
        <f t="shared" si="1"/>
        <v>3780</v>
      </c>
      <c r="G21" s="45">
        <f t="shared" si="2"/>
        <v>1412</v>
      </c>
      <c r="H21" s="45">
        <f t="shared" si="3"/>
        <v>2368</v>
      </c>
      <c r="I21" s="25"/>
      <c r="J21" s="43" t="s">
        <v>49</v>
      </c>
      <c r="K21" s="43" t="s">
        <v>58</v>
      </c>
      <c r="L21" s="43" t="s">
        <v>42</v>
      </c>
      <c r="M21" s="43">
        <v>1</v>
      </c>
      <c r="N21" s="45">
        <v>2853</v>
      </c>
      <c r="O21" s="45">
        <f t="shared" si="4"/>
        <v>2853</v>
      </c>
      <c r="P21" s="43"/>
      <c r="Q21" s="25"/>
      <c r="R21" s="44">
        <v>44770</v>
      </c>
      <c r="S21" s="43" t="s">
        <v>57</v>
      </c>
      <c r="T21" s="45">
        <v>1412</v>
      </c>
      <c r="U21" s="24"/>
      <c r="V21" s="17"/>
      <c r="W21" s="8"/>
    </row>
    <row r="22" s="4" customFormat="1" customHeight="1" spans="1:23">
      <c r="A22" s="8"/>
      <c r="B22" s="14"/>
      <c r="C22" s="24"/>
      <c r="D22" s="43" t="s">
        <v>59</v>
      </c>
      <c r="E22" s="44">
        <v>44762</v>
      </c>
      <c r="F22" s="45">
        <f t="shared" si="1"/>
        <v>8808</v>
      </c>
      <c r="G22" s="45">
        <f t="shared" si="2"/>
        <v>5398</v>
      </c>
      <c r="H22" s="45">
        <f t="shared" si="3"/>
        <v>3410</v>
      </c>
      <c r="I22" s="25"/>
      <c r="J22" s="43" t="s">
        <v>49</v>
      </c>
      <c r="K22" s="43" t="s">
        <v>60</v>
      </c>
      <c r="L22" s="43" t="s">
        <v>42</v>
      </c>
      <c r="M22" s="43">
        <v>5</v>
      </c>
      <c r="N22" s="45">
        <v>1595</v>
      </c>
      <c r="O22" s="45">
        <f t="shared" si="4"/>
        <v>7975</v>
      </c>
      <c r="P22" s="43"/>
      <c r="Q22" s="25"/>
      <c r="R22" s="44">
        <v>44771</v>
      </c>
      <c r="S22" s="43" t="s">
        <v>59</v>
      </c>
      <c r="T22" s="45">
        <v>5398</v>
      </c>
      <c r="U22" s="24"/>
      <c r="V22" s="17"/>
      <c r="W22" s="8"/>
    </row>
    <row r="23" s="4" customFormat="1" customHeight="1" spans="1:23">
      <c r="A23" s="8"/>
      <c r="B23" s="14"/>
      <c r="C23" s="24"/>
      <c r="D23" s="43" t="s">
        <v>61</v>
      </c>
      <c r="E23" s="44">
        <v>44764</v>
      </c>
      <c r="F23" s="45">
        <f t="shared" si="1"/>
        <v>14485</v>
      </c>
      <c r="G23" s="45">
        <f t="shared" si="2"/>
        <v>6453</v>
      </c>
      <c r="H23" s="45">
        <f t="shared" si="3"/>
        <v>8032</v>
      </c>
      <c r="I23" s="25"/>
      <c r="J23" s="43" t="s">
        <v>51</v>
      </c>
      <c r="K23" s="43" t="s">
        <v>62</v>
      </c>
      <c r="L23" s="43" t="s">
        <v>42</v>
      </c>
      <c r="M23" s="43">
        <v>4</v>
      </c>
      <c r="N23" s="45">
        <v>2851</v>
      </c>
      <c r="O23" s="45">
        <f t="shared" si="4"/>
        <v>11404</v>
      </c>
      <c r="P23" s="43"/>
      <c r="Q23" s="25"/>
      <c r="R23" s="44">
        <v>44772</v>
      </c>
      <c r="S23" s="43" t="s">
        <v>61</v>
      </c>
      <c r="T23" s="45">
        <v>6453</v>
      </c>
      <c r="U23" s="24"/>
      <c r="V23" s="17"/>
      <c r="W23" s="8"/>
    </row>
    <row r="24" s="4" customFormat="1" customHeight="1" spans="1:23">
      <c r="A24" s="8"/>
      <c r="B24" s="14"/>
      <c r="C24" s="24"/>
      <c r="D24" s="43" t="s">
        <v>63</v>
      </c>
      <c r="E24" s="44">
        <v>44766</v>
      </c>
      <c r="F24" s="45">
        <f t="shared" si="1"/>
        <v>12030</v>
      </c>
      <c r="G24" s="45">
        <f t="shared" si="2"/>
        <v>4759</v>
      </c>
      <c r="H24" s="45">
        <f t="shared" si="3"/>
        <v>7271</v>
      </c>
      <c r="I24" s="25"/>
      <c r="J24" s="43" t="s">
        <v>51</v>
      </c>
      <c r="K24" s="43" t="s">
        <v>64</v>
      </c>
      <c r="L24" s="43" t="s">
        <v>42</v>
      </c>
      <c r="M24" s="43">
        <v>5</v>
      </c>
      <c r="N24" s="45">
        <v>494</v>
      </c>
      <c r="O24" s="45">
        <f t="shared" si="4"/>
        <v>2470</v>
      </c>
      <c r="P24" s="43"/>
      <c r="Q24" s="25"/>
      <c r="R24" s="44">
        <v>44773</v>
      </c>
      <c r="S24" s="43" t="s">
        <v>63</v>
      </c>
      <c r="T24" s="45">
        <v>4759</v>
      </c>
      <c r="U24" s="24"/>
      <c r="V24" s="17"/>
      <c r="W24" s="8"/>
    </row>
    <row r="25" s="4" customFormat="1" customHeight="1" spans="1:23">
      <c r="A25" s="8"/>
      <c r="B25" s="14"/>
      <c r="C25" s="24"/>
      <c r="D25" s="43" t="s">
        <v>65</v>
      </c>
      <c r="E25" s="44">
        <v>44768</v>
      </c>
      <c r="F25" s="45">
        <f t="shared" si="1"/>
        <v>9460</v>
      </c>
      <c r="G25" s="45">
        <f t="shared" si="2"/>
        <v>4367</v>
      </c>
      <c r="H25" s="45">
        <f t="shared" si="3"/>
        <v>5093</v>
      </c>
      <c r="I25" s="25"/>
      <c r="J25" s="43" t="s">
        <v>51</v>
      </c>
      <c r="K25" s="43" t="s">
        <v>66</v>
      </c>
      <c r="L25" s="43" t="s">
        <v>42</v>
      </c>
      <c r="M25" s="43">
        <v>5</v>
      </c>
      <c r="N25" s="45">
        <v>1410</v>
      </c>
      <c r="O25" s="45">
        <f t="shared" si="4"/>
        <v>7050</v>
      </c>
      <c r="P25" s="43"/>
      <c r="Q25" s="25"/>
      <c r="R25" s="44">
        <v>44774</v>
      </c>
      <c r="S25" s="43" t="s">
        <v>65</v>
      </c>
      <c r="T25" s="45">
        <v>4367</v>
      </c>
      <c r="U25" s="24"/>
      <c r="V25" s="17"/>
      <c r="W25" s="8"/>
    </row>
    <row r="26" s="4" customFormat="1" customHeight="1" spans="1:23">
      <c r="A26" s="8"/>
      <c r="B26" s="14"/>
      <c r="C26" s="24"/>
      <c r="D26" s="43" t="s">
        <v>67</v>
      </c>
      <c r="E26" s="44">
        <v>44770</v>
      </c>
      <c r="F26" s="45">
        <f t="shared" si="1"/>
        <v>10870</v>
      </c>
      <c r="G26" s="45">
        <f t="shared" si="2"/>
        <v>4145</v>
      </c>
      <c r="H26" s="45">
        <f t="shared" si="3"/>
        <v>6725</v>
      </c>
      <c r="I26" s="25"/>
      <c r="J26" s="43" t="s">
        <v>51</v>
      </c>
      <c r="K26" s="43" t="s">
        <v>68</v>
      </c>
      <c r="L26" s="43" t="s">
        <v>42</v>
      </c>
      <c r="M26" s="43">
        <v>4</v>
      </c>
      <c r="N26" s="45">
        <v>463</v>
      </c>
      <c r="O26" s="45">
        <f t="shared" si="4"/>
        <v>1852</v>
      </c>
      <c r="P26" s="43"/>
      <c r="Q26" s="25"/>
      <c r="R26" s="44">
        <v>44775</v>
      </c>
      <c r="S26" s="43" t="s">
        <v>67</v>
      </c>
      <c r="T26" s="45">
        <v>4145</v>
      </c>
      <c r="U26" s="24"/>
      <c r="V26" s="17"/>
      <c r="W26" s="8"/>
    </row>
    <row r="27" s="4" customFormat="1" customHeight="1" spans="1:23">
      <c r="A27" s="8"/>
      <c r="B27" s="14"/>
      <c r="C27" s="24"/>
      <c r="D27" s="43" t="s">
        <v>69</v>
      </c>
      <c r="E27" s="44">
        <v>44772</v>
      </c>
      <c r="F27" s="45">
        <f t="shared" si="1"/>
        <v>16920</v>
      </c>
      <c r="G27" s="45">
        <f t="shared" si="2"/>
        <v>6257</v>
      </c>
      <c r="H27" s="45">
        <f t="shared" si="3"/>
        <v>10663</v>
      </c>
      <c r="I27" s="25"/>
      <c r="J27" s="43" t="s">
        <v>53</v>
      </c>
      <c r="K27" s="43" t="s">
        <v>70</v>
      </c>
      <c r="L27" s="43" t="s">
        <v>42</v>
      </c>
      <c r="M27" s="43">
        <v>1</v>
      </c>
      <c r="N27" s="45">
        <v>383</v>
      </c>
      <c r="O27" s="45">
        <f t="shared" si="4"/>
        <v>383</v>
      </c>
      <c r="P27" s="43"/>
      <c r="Q27" s="25"/>
      <c r="R27" s="44">
        <v>44776</v>
      </c>
      <c r="S27" s="43" t="s">
        <v>69</v>
      </c>
      <c r="T27" s="45">
        <v>6257</v>
      </c>
      <c r="U27" s="24"/>
      <c r="V27" s="17"/>
      <c r="W27" s="8"/>
    </row>
    <row r="28" s="4" customFormat="1" customHeight="1" spans="1:23">
      <c r="A28" s="8"/>
      <c r="B28" s="14"/>
      <c r="C28" s="24"/>
      <c r="D28" s="43"/>
      <c r="E28" s="44"/>
      <c r="F28" s="45">
        <f t="shared" ref="F28:F59" si="5">SUMIFS($O$13:$O$1000,$J$13:$J$1000,$D28)</f>
        <v>0</v>
      </c>
      <c r="G28" s="45">
        <f t="shared" si="2"/>
        <v>0</v>
      </c>
      <c r="H28" s="45">
        <f t="shared" si="3"/>
        <v>0</v>
      </c>
      <c r="I28" s="25"/>
      <c r="J28" s="43" t="s">
        <v>55</v>
      </c>
      <c r="K28" s="43" t="s">
        <v>71</v>
      </c>
      <c r="L28" s="43" t="s">
        <v>42</v>
      </c>
      <c r="M28" s="43">
        <v>3</v>
      </c>
      <c r="N28" s="45">
        <v>1201</v>
      </c>
      <c r="O28" s="45">
        <f t="shared" si="4"/>
        <v>3603</v>
      </c>
      <c r="P28" s="43"/>
      <c r="Q28" s="25"/>
      <c r="R28" s="44"/>
      <c r="S28" s="43"/>
      <c r="T28" s="45"/>
      <c r="U28" s="24"/>
      <c r="V28" s="17"/>
      <c r="W28" s="8"/>
    </row>
    <row r="29" s="4" customFormat="1" customHeight="1" spans="1:23">
      <c r="A29" s="8"/>
      <c r="B29" s="14"/>
      <c r="C29" s="24"/>
      <c r="D29" s="43"/>
      <c r="E29" s="44"/>
      <c r="F29" s="45">
        <f t="shared" si="5"/>
        <v>0</v>
      </c>
      <c r="G29" s="45">
        <f t="shared" si="2"/>
        <v>0</v>
      </c>
      <c r="H29" s="45">
        <f t="shared" si="3"/>
        <v>0</v>
      </c>
      <c r="I29" s="25"/>
      <c r="J29" s="43" t="s">
        <v>57</v>
      </c>
      <c r="K29" s="43" t="s">
        <v>72</v>
      </c>
      <c r="L29" s="43" t="s">
        <v>42</v>
      </c>
      <c r="M29" s="43">
        <v>5</v>
      </c>
      <c r="N29" s="45">
        <v>756</v>
      </c>
      <c r="O29" s="45">
        <f t="shared" si="4"/>
        <v>3780</v>
      </c>
      <c r="P29" s="43"/>
      <c r="Q29" s="25"/>
      <c r="R29" s="44"/>
      <c r="S29" s="43"/>
      <c r="T29" s="45"/>
      <c r="U29" s="24"/>
      <c r="V29" s="17"/>
      <c r="W29" s="8"/>
    </row>
    <row r="30" s="4" customFormat="1" customHeight="1" spans="1:23">
      <c r="A30" s="8"/>
      <c r="B30" s="14"/>
      <c r="C30" s="24"/>
      <c r="D30" s="43"/>
      <c r="E30" s="44"/>
      <c r="F30" s="45">
        <f t="shared" si="5"/>
        <v>0</v>
      </c>
      <c r="G30" s="45">
        <f t="shared" si="2"/>
        <v>0</v>
      </c>
      <c r="H30" s="45">
        <f t="shared" si="3"/>
        <v>0</v>
      </c>
      <c r="I30" s="25"/>
      <c r="J30" s="43" t="s">
        <v>59</v>
      </c>
      <c r="K30" s="43" t="s">
        <v>73</v>
      </c>
      <c r="L30" s="43" t="s">
        <v>42</v>
      </c>
      <c r="M30" s="43">
        <v>6</v>
      </c>
      <c r="N30" s="45">
        <v>1468</v>
      </c>
      <c r="O30" s="45">
        <f t="shared" si="4"/>
        <v>8808</v>
      </c>
      <c r="P30" s="43"/>
      <c r="Q30" s="25"/>
      <c r="R30" s="44"/>
      <c r="S30" s="43"/>
      <c r="T30" s="45"/>
      <c r="U30" s="24"/>
      <c r="V30" s="17"/>
      <c r="W30" s="8"/>
    </row>
    <row r="31" s="4" customFormat="1" customHeight="1" spans="1:23">
      <c r="A31" s="8"/>
      <c r="B31" s="14"/>
      <c r="C31" s="24"/>
      <c r="D31" s="43"/>
      <c r="E31" s="44"/>
      <c r="F31" s="45">
        <f t="shared" si="5"/>
        <v>0</v>
      </c>
      <c r="G31" s="45">
        <f t="shared" si="2"/>
        <v>0</v>
      </c>
      <c r="H31" s="45">
        <f t="shared" si="3"/>
        <v>0</v>
      </c>
      <c r="I31" s="25"/>
      <c r="J31" s="43" t="s">
        <v>61</v>
      </c>
      <c r="K31" s="43" t="s">
        <v>74</v>
      </c>
      <c r="L31" s="43" t="s">
        <v>42</v>
      </c>
      <c r="M31" s="43">
        <v>5</v>
      </c>
      <c r="N31" s="45">
        <v>2897</v>
      </c>
      <c r="O31" s="45">
        <f t="shared" si="4"/>
        <v>14485</v>
      </c>
      <c r="P31" s="43"/>
      <c r="Q31" s="25"/>
      <c r="R31" s="44"/>
      <c r="S31" s="43"/>
      <c r="T31" s="45"/>
      <c r="U31" s="24"/>
      <c r="V31" s="17"/>
      <c r="W31" s="8"/>
    </row>
    <row r="32" s="4" customFormat="1" customHeight="1" spans="1:23">
      <c r="A32" s="8"/>
      <c r="B32" s="14"/>
      <c r="C32" s="24"/>
      <c r="D32" s="43"/>
      <c r="E32" s="44"/>
      <c r="F32" s="45">
        <f t="shared" si="5"/>
        <v>0</v>
      </c>
      <c r="G32" s="45">
        <f t="shared" si="2"/>
        <v>0</v>
      </c>
      <c r="H32" s="45">
        <f t="shared" si="3"/>
        <v>0</v>
      </c>
      <c r="I32" s="25"/>
      <c r="J32" s="43" t="s">
        <v>63</v>
      </c>
      <c r="K32" s="43" t="s">
        <v>75</v>
      </c>
      <c r="L32" s="43" t="s">
        <v>42</v>
      </c>
      <c r="M32" s="43">
        <v>5</v>
      </c>
      <c r="N32" s="45">
        <v>2406</v>
      </c>
      <c r="O32" s="45">
        <f t="shared" si="4"/>
        <v>12030</v>
      </c>
      <c r="P32" s="43"/>
      <c r="Q32" s="25"/>
      <c r="R32" s="44"/>
      <c r="S32" s="43"/>
      <c r="T32" s="45"/>
      <c r="U32" s="24"/>
      <c r="V32" s="17"/>
      <c r="W32" s="8"/>
    </row>
    <row r="33" s="4" customFormat="1" customHeight="1" spans="1:23">
      <c r="A33" s="8"/>
      <c r="B33" s="14"/>
      <c r="C33" s="24"/>
      <c r="D33" s="43"/>
      <c r="E33" s="44"/>
      <c r="F33" s="45">
        <f t="shared" si="5"/>
        <v>0</v>
      </c>
      <c r="G33" s="45">
        <f t="shared" si="2"/>
        <v>0</v>
      </c>
      <c r="H33" s="45">
        <f t="shared" si="3"/>
        <v>0</v>
      </c>
      <c r="I33" s="25"/>
      <c r="J33" s="43" t="s">
        <v>65</v>
      </c>
      <c r="K33" s="43" t="s">
        <v>76</v>
      </c>
      <c r="L33" s="43" t="s">
        <v>42</v>
      </c>
      <c r="M33" s="43">
        <v>5</v>
      </c>
      <c r="N33" s="45">
        <v>1892</v>
      </c>
      <c r="O33" s="45">
        <f t="shared" si="4"/>
        <v>9460</v>
      </c>
      <c r="P33" s="43"/>
      <c r="Q33" s="25"/>
      <c r="R33" s="44"/>
      <c r="S33" s="43"/>
      <c r="T33" s="45"/>
      <c r="U33" s="24"/>
      <c r="V33" s="17"/>
      <c r="W33" s="8"/>
    </row>
    <row r="34" s="4" customFormat="1" customHeight="1" spans="1:23">
      <c r="A34" s="8"/>
      <c r="B34" s="14"/>
      <c r="C34" s="24"/>
      <c r="D34" s="43"/>
      <c r="E34" s="44"/>
      <c r="F34" s="45">
        <f t="shared" si="5"/>
        <v>0</v>
      </c>
      <c r="G34" s="45">
        <f t="shared" si="2"/>
        <v>0</v>
      </c>
      <c r="H34" s="45">
        <f t="shared" si="3"/>
        <v>0</v>
      </c>
      <c r="I34" s="25"/>
      <c r="J34" s="43" t="s">
        <v>67</v>
      </c>
      <c r="K34" s="43" t="s">
        <v>77</v>
      </c>
      <c r="L34" s="43" t="s">
        <v>42</v>
      </c>
      <c r="M34" s="43">
        <v>5</v>
      </c>
      <c r="N34" s="45">
        <v>2174</v>
      </c>
      <c r="O34" s="45">
        <f t="shared" si="4"/>
        <v>10870</v>
      </c>
      <c r="P34" s="43"/>
      <c r="Q34" s="25"/>
      <c r="R34" s="44"/>
      <c r="S34" s="43"/>
      <c r="T34" s="45"/>
      <c r="U34" s="24"/>
      <c r="V34" s="17"/>
      <c r="W34" s="8"/>
    </row>
    <row r="35" s="4" customFormat="1" customHeight="1" spans="1:23">
      <c r="A35" s="8"/>
      <c r="B35" s="14"/>
      <c r="C35" s="24"/>
      <c r="D35" s="43"/>
      <c r="E35" s="44"/>
      <c r="F35" s="45">
        <f t="shared" si="5"/>
        <v>0</v>
      </c>
      <c r="G35" s="45">
        <f t="shared" si="2"/>
        <v>0</v>
      </c>
      <c r="H35" s="45">
        <f t="shared" si="3"/>
        <v>0</v>
      </c>
      <c r="I35" s="25"/>
      <c r="J35" s="43" t="s">
        <v>69</v>
      </c>
      <c r="K35" s="43" t="s">
        <v>78</v>
      </c>
      <c r="L35" s="43" t="s">
        <v>42</v>
      </c>
      <c r="M35" s="43">
        <v>6</v>
      </c>
      <c r="N35" s="45">
        <v>2820</v>
      </c>
      <c r="O35" s="45">
        <f t="shared" si="4"/>
        <v>16920</v>
      </c>
      <c r="P35" s="43"/>
      <c r="Q35" s="25"/>
      <c r="R35" s="44"/>
      <c r="S35" s="43"/>
      <c r="T35" s="45"/>
      <c r="U35" s="24"/>
      <c r="V35" s="17"/>
      <c r="W35" s="8"/>
    </row>
    <row r="36" s="4" customFormat="1" customHeight="1" spans="1:23">
      <c r="A36" s="8"/>
      <c r="B36" s="14"/>
      <c r="C36" s="24"/>
      <c r="D36" s="43"/>
      <c r="E36" s="44"/>
      <c r="F36" s="45">
        <f t="shared" si="5"/>
        <v>0</v>
      </c>
      <c r="G36" s="45">
        <f t="shared" si="2"/>
        <v>0</v>
      </c>
      <c r="H36" s="45">
        <f t="shared" si="3"/>
        <v>0</v>
      </c>
      <c r="I36" s="25"/>
      <c r="J36" s="43"/>
      <c r="K36" s="43"/>
      <c r="L36" s="43"/>
      <c r="M36" s="43"/>
      <c r="N36" s="45"/>
      <c r="O36" s="45">
        <f t="shared" ref="O36:O67" si="6">M36*N36</f>
        <v>0</v>
      </c>
      <c r="P36" s="43"/>
      <c r="Q36" s="25"/>
      <c r="R36" s="44"/>
      <c r="S36" s="43"/>
      <c r="T36" s="45"/>
      <c r="U36" s="24"/>
      <c r="V36" s="17"/>
      <c r="W36" s="8"/>
    </row>
    <row r="37" s="4" customFormat="1" customHeight="1" spans="1:23">
      <c r="A37" s="8"/>
      <c r="B37" s="14"/>
      <c r="C37" s="24"/>
      <c r="D37" s="43"/>
      <c r="E37" s="44"/>
      <c r="F37" s="45">
        <f t="shared" si="5"/>
        <v>0</v>
      </c>
      <c r="G37" s="45">
        <f t="shared" si="2"/>
        <v>0</v>
      </c>
      <c r="H37" s="45">
        <f t="shared" si="3"/>
        <v>0</v>
      </c>
      <c r="I37" s="25"/>
      <c r="J37" s="43"/>
      <c r="K37" s="43"/>
      <c r="L37" s="43"/>
      <c r="M37" s="43"/>
      <c r="N37" s="45"/>
      <c r="O37" s="45">
        <f t="shared" si="6"/>
        <v>0</v>
      </c>
      <c r="P37" s="43"/>
      <c r="Q37" s="25"/>
      <c r="R37" s="44"/>
      <c r="S37" s="43"/>
      <c r="T37" s="45"/>
      <c r="U37" s="24"/>
      <c r="V37" s="17"/>
      <c r="W37" s="8"/>
    </row>
    <row r="38" s="4" customFormat="1" customHeight="1" spans="1:23">
      <c r="A38" s="8"/>
      <c r="B38" s="14"/>
      <c r="C38" s="24"/>
      <c r="D38" s="43"/>
      <c r="E38" s="44"/>
      <c r="F38" s="45">
        <f t="shared" si="5"/>
        <v>0</v>
      </c>
      <c r="G38" s="45">
        <f t="shared" si="2"/>
        <v>0</v>
      </c>
      <c r="H38" s="45">
        <f t="shared" si="3"/>
        <v>0</v>
      </c>
      <c r="I38" s="25"/>
      <c r="J38" s="43"/>
      <c r="K38" s="43"/>
      <c r="L38" s="43"/>
      <c r="M38" s="43"/>
      <c r="N38" s="45"/>
      <c r="O38" s="45">
        <f t="shared" si="6"/>
        <v>0</v>
      </c>
      <c r="P38" s="43"/>
      <c r="Q38" s="25"/>
      <c r="R38" s="44"/>
      <c r="S38" s="43"/>
      <c r="T38" s="45"/>
      <c r="U38" s="24"/>
      <c r="V38" s="17"/>
      <c r="W38" s="8"/>
    </row>
    <row r="39" s="4" customFormat="1" customHeight="1" spans="1:23">
      <c r="A39" s="8"/>
      <c r="B39" s="14"/>
      <c r="C39" s="24"/>
      <c r="D39" s="43"/>
      <c r="E39" s="44"/>
      <c r="F39" s="45">
        <f t="shared" si="5"/>
        <v>0</v>
      </c>
      <c r="G39" s="45">
        <f t="shared" si="2"/>
        <v>0</v>
      </c>
      <c r="H39" s="45">
        <f t="shared" si="3"/>
        <v>0</v>
      </c>
      <c r="I39" s="25"/>
      <c r="J39" s="43"/>
      <c r="K39" s="43"/>
      <c r="L39" s="43"/>
      <c r="M39" s="43"/>
      <c r="N39" s="45"/>
      <c r="O39" s="45">
        <f t="shared" si="6"/>
        <v>0</v>
      </c>
      <c r="P39" s="43"/>
      <c r="Q39" s="25"/>
      <c r="R39" s="44"/>
      <c r="S39" s="43"/>
      <c r="T39" s="45"/>
      <c r="U39" s="24"/>
      <c r="V39" s="17"/>
      <c r="W39" s="8"/>
    </row>
    <row r="40" s="4" customFormat="1" customHeight="1" spans="1:23">
      <c r="A40" s="8"/>
      <c r="B40" s="14"/>
      <c r="C40" s="24"/>
      <c r="D40" s="43"/>
      <c r="E40" s="44"/>
      <c r="F40" s="45">
        <f t="shared" si="5"/>
        <v>0</v>
      </c>
      <c r="G40" s="45">
        <f t="shared" si="2"/>
        <v>0</v>
      </c>
      <c r="H40" s="45">
        <f t="shared" si="3"/>
        <v>0</v>
      </c>
      <c r="I40" s="25"/>
      <c r="J40" s="43"/>
      <c r="K40" s="43"/>
      <c r="L40" s="43"/>
      <c r="M40" s="43"/>
      <c r="N40" s="45"/>
      <c r="O40" s="45">
        <f t="shared" si="6"/>
        <v>0</v>
      </c>
      <c r="P40" s="43"/>
      <c r="Q40" s="25"/>
      <c r="R40" s="44"/>
      <c r="S40" s="43"/>
      <c r="T40" s="45"/>
      <c r="U40" s="24"/>
      <c r="V40" s="17"/>
      <c r="W40" s="8"/>
    </row>
    <row r="41" s="4" customFormat="1" customHeight="1" spans="1:23">
      <c r="A41" s="8"/>
      <c r="B41" s="14"/>
      <c r="C41" s="24"/>
      <c r="D41" s="43"/>
      <c r="E41" s="44"/>
      <c r="F41" s="45">
        <f t="shared" si="5"/>
        <v>0</v>
      </c>
      <c r="G41" s="45">
        <f t="shared" si="2"/>
        <v>0</v>
      </c>
      <c r="H41" s="45">
        <f t="shared" si="3"/>
        <v>0</v>
      </c>
      <c r="I41" s="25"/>
      <c r="J41" s="43"/>
      <c r="K41" s="43"/>
      <c r="L41" s="43"/>
      <c r="M41" s="43"/>
      <c r="N41" s="45"/>
      <c r="O41" s="45">
        <f t="shared" si="6"/>
        <v>0</v>
      </c>
      <c r="P41" s="43"/>
      <c r="Q41" s="25"/>
      <c r="R41" s="44"/>
      <c r="S41" s="43"/>
      <c r="T41" s="45"/>
      <c r="U41" s="24"/>
      <c r="V41" s="17"/>
      <c r="W41" s="8"/>
    </row>
    <row r="42" s="4" customFormat="1" customHeight="1" spans="1:23">
      <c r="A42" s="8"/>
      <c r="B42" s="14"/>
      <c r="C42" s="24"/>
      <c r="D42" s="43"/>
      <c r="E42" s="44"/>
      <c r="F42" s="45">
        <f t="shared" si="5"/>
        <v>0</v>
      </c>
      <c r="G42" s="45">
        <f t="shared" si="2"/>
        <v>0</v>
      </c>
      <c r="H42" s="45">
        <f t="shared" si="3"/>
        <v>0</v>
      </c>
      <c r="I42" s="25"/>
      <c r="J42" s="43"/>
      <c r="K42" s="43"/>
      <c r="L42" s="43"/>
      <c r="M42" s="43"/>
      <c r="N42" s="45"/>
      <c r="O42" s="45">
        <f t="shared" si="6"/>
        <v>0</v>
      </c>
      <c r="P42" s="43"/>
      <c r="Q42" s="25"/>
      <c r="R42" s="44"/>
      <c r="S42" s="43"/>
      <c r="T42" s="45"/>
      <c r="U42" s="24"/>
      <c r="V42" s="17"/>
      <c r="W42" s="8"/>
    </row>
    <row r="43" s="4" customFormat="1" customHeight="1" spans="1:23">
      <c r="A43" s="8"/>
      <c r="B43" s="14"/>
      <c r="C43" s="24"/>
      <c r="D43" s="43"/>
      <c r="E43" s="44"/>
      <c r="F43" s="45">
        <f t="shared" si="5"/>
        <v>0</v>
      </c>
      <c r="G43" s="45">
        <f t="shared" si="2"/>
        <v>0</v>
      </c>
      <c r="H43" s="45">
        <f t="shared" si="3"/>
        <v>0</v>
      </c>
      <c r="I43" s="25"/>
      <c r="J43" s="43"/>
      <c r="K43" s="43"/>
      <c r="L43" s="43"/>
      <c r="M43" s="43"/>
      <c r="N43" s="45"/>
      <c r="O43" s="45">
        <f t="shared" si="6"/>
        <v>0</v>
      </c>
      <c r="P43" s="43"/>
      <c r="Q43" s="25"/>
      <c r="R43" s="44"/>
      <c r="S43" s="43"/>
      <c r="T43" s="45"/>
      <c r="U43" s="24"/>
      <c r="V43" s="17"/>
      <c r="W43" s="8"/>
    </row>
    <row r="44" s="4" customFormat="1" customHeight="1" spans="1:23">
      <c r="A44" s="8"/>
      <c r="B44" s="14"/>
      <c r="C44" s="24"/>
      <c r="D44" s="43"/>
      <c r="E44" s="44"/>
      <c r="F44" s="45">
        <f t="shared" si="5"/>
        <v>0</v>
      </c>
      <c r="G44" s="45">
        <f t="shared" si="2"/>
        <v>0</v>
      </c>
      <c r="H44" s="45">
        <f t="shared" si="3"/>
        <v>0</v>
      </c>
      <c r="I44" s="25"/>
      <c r="J44" s="43"/>
      <c r="K44" s="43"/>
      <c r="L44" s="43"/>
      <c r="M44" s="43"/>
      <c r="N44" s="45"/>
      <c r="O44" s="45">
        <f t="shared" si="6"/>
        <v>0</v>
      </c>
      <c r="P44" s="43"/>
      <c r="Q44" s="25"/>
      <c r="R44" s="44"/>
      <c r="S44" s="43"/>
      <c r="T44" s="45"/>
      <c r="U44" s="24"/>
      <c r="V44" s="17"/>
      <c r="W44" s="8"/>
    </row>
    <row r="45" s="4" customFormat="1" customHeight="1" spans="1:23">
      <c r="A45" s="8"/>
      <c r="B45" s="14"/>
      <c r="C45" s="24"/>
      <c r="D45" s="43"/>
      <c r="E45" s="44"/>
      <c r="F45" s="45">
        <f t="shared" si="5"/>
        <v>0</v>
      </c>
      <c r="G45" s="45">
        <f t="shared" si="2"/>
        <v>0</v>
      </c>
      <c r="H45" s="45">
        <f t="shared" si="3"/>
        <v>0</v>
      </c>
      <c r="I45" s="25"/>
      <c r="J45" s="43"/>
      <c r="K45" s="43"/>
      <c r="L45" s="43"/>
      <c r="M45" s="43"/>
      <c r="N45" s="45"/>
      <c r="O45" s="45">
        <f t="shared" si="6"/>
        <v>0</v>
      </c>
      <c r="P45" s="43"/>
      <c r="Q45" s="25"/>
      <c r="R45" s="44"/>
      <c r="S45" s="43"/>
      <c r="T45" s="45"/>
      <c r="U45" s="24"/>
      <c r="V45" s="17"/>
      <c r="W45" s="8"/>
    </row>
    <row r="46" s="4" customFormat="1" customHeight="1" spans="1:23">
      <c r="A46" s="8"/>
      <c r="B46" s="14"/>
      <c r="C46" s="24"/>
      <c r="D46" s="43"/>
      <c r="E46" s="44"/>
      <c r="F46" s="45">
        <f t="shared" si="5"/>
        <v>0</v>
      </c>
      <c r="G46" s="45">
        <f t="shared" ref="G46:G77" si="7">SUMIFS($T$13:$T$1000,$S$13:$S$1000,$D46)</f>
        <v>0</v>
      </c>
      <c r="H46" s="45">
        <f t="shared" ref="H46:H77" si="8">F46-G46</f>
        <v>0</v>
      </c>
      <c r="I46" s="25"/>
      <c r="J46" s="43"/>
      <c r="K46" s="43"/>
      <c r="L46" s="43"/>
      <c r="M46" s="43"/>
      <c r="N46" s="45"/>
      <c r="O46" s="45">
        <f t="shared" si="6"/>
        <v>0</v>
      </c>
      <c r="P46" s="43"/>
      <c r="Q46" s="25"/>
      <c r="R46" s="44"/>
      <c r="S46" s="43"/>
      <c r="T46" s="45"/>
      <c r="U46" s="24"/>
      <c r="V46" s="17"/>
      <c r="W46" s="8"/>
    </row>
    <row r="47" s="4" customFormat="1" customHeight="1" spans="1:23">
      <c r="A47" s="8"/>
      <c r="B47" s="14"/>
      <c r="C47" s="24"/>
      <c r="D47" s="43"/>
      <c r="E47" s="44"/>
      <c r="F47" s="45">
        <f t="shared" si="5"/>
        <v>0</v>
      </c>
      <c r="G47" s="45">
        <f t="shared" si="7"/>
        <v>0</v>
      </c>
      <c r="H47" s="45">
        <f t="shared" si="8"/>
        <v>0</v>
      </c>
      <c r="I47" s="25"/>
      <c r="J47" s="43"/>
      <c r="K47" s="43"/>
      <c r="L47" s="43"/>
      <c r="M47" s="43"/>
      <c r="N47" s="45"/>
      <c r="O47" s="45">
        <f t="shared" si="6"/>
        <v>0</v>
      </c>
      <c r="P47" s="43"/>
      <c r="Q47" s="25"/>
      <c r="R47" s="44"/>
      <c r="S47" s="43"/>
      <c r="T47" s="45"/>
      <c r="U47" s="24"/>
      <c r="V47" s="17"/>
      <c r="W47" s="8"/>
    </row>
    <row r="48" s="4" customFormat="1" customHeight="1" spans="1:23">
      <c r="A48" s="8"/>
      <c r="B48" s="14"/>
      <c r="C48" s="24"/>
      <c r="D48" s="43"/>
      <c r="E48" s="44"/>
      <c r="F48" s="45">
        <f t="shared" si="5"/>
        <v>0</v>
      </c>
      <c r="G48" s="45">
        <f t="shared" si="7"/>
        <v>0</v>
      </c>
      <c r="H48" s="45">
        <f t="shared" si="8"/>
        <v>0</v>
      </c>
      <c r="I48" s="25"/>
      <c r="J48" s="43"/>
      <c r="K48" s="43"/>
      <c r="L48" s="43"/>
      <c r="M48" s="43"/>
      <c r="N48" s="45"/>
      <c r="O48" s="45">
        <f t="shared" si="6"/>
        <v>0</v>
      </c>
      <c r="P48" s="43"/>
      <c r="Q48" s="25"/>
      <c r="R48" s="44"/>
      <c r="S48" s="43"/>
      <c r="T48" s="45"/>
      <c r="U48" s="24"/>
      <c r="V48" s="17"/>
      <c r="W48" s="8"/>
    </row>
    <row r="49" s="4" customFormat="1" customHeight="1" spans="1:23">
      <c r="A49" s="8"/>
      <c r="B49" s="14"/>
      <c r="C49" s="24"/>
      <c r="D49" s="43"/>
      <c r="E49" s="44"/>
      <c r="F49" s="45">
        <f t="shared" si="5"/>
        <v>0</v>
      </c>
      <c r="G49" s="45">
        <f t="shared" si="7"/>
        <v>0</v>
      </c>
      <c r="H49" s="45">
        <f t="shared" si="8"/>
        <v>0</v>
      </c>
      <c r="I49" s="25"/>
      <c r="J49" s="43"/>
      <c r="K49" s="43"/>
      <c r="L49" s="43"/>
      <c r="M49" s="43"/>
      <c r="N49" s="45"/>
      <c r="O49" s="45">
        <f t="shared" si="6"/>
        <v>0</v>
      </c>
      <c r="P49" s="43"/>
      <c r="Q49" s="25"/>
      <c r="R49" s="44"/>
      <c r="S49" s="43"/>
      <c r="T49" s="45"/>
      <c r="U49" s="24"/>
      <c r="V49" s="17"/>
      <c r="W49" s="8"/>
    </row>
    <row r="50" s="4" customFormat="1" customHeight="1" spans="1:23">
      <c r="A50" s="8"/>
      <c r="B50" s="14"/>
      <c r="C50" s="24"/>
      <c r="D50" s="43"/>
      <c r="E50" s="44"/>
      <c r="F50" s="45">
        <f t="shared" si="5"/>
        <v>0</v>
      </c>
      <c r="G50" s="45">
        <f t="shared" si="7"/>
        <v>0</v>
      </c>
      <c r="H50" s="45">
        <f t="shared" si="8"/>
        <v>0</v>
      </c>
      <c r="I50" s="25"/>
      <c r="J50" s="43"/>
      <c r="K50" s="43"/>
      <c r="L50" s="43"/>
      <c r="M50" s="43"/>
      <c r="N50" s="45"/>
      <c r="O50" s="45">
        <f t="shared" si="6"/>
        <v>0</v>
      </c>
      <c r="P50" s="43"/>
      <c r="Q50" s="25"/>
      <c r="R50" s="44"/>
      <c r="S50" s="43"/>
      <c r="T50" s="45"/>
      <c r="U50" s="24"/>
      <c r="V50" s="17"/>
      <c r="W50" s="8"/>
    </row>
    <row r="51" s="4" customFormat="1" customHeight="1" spans="1:23">
      <c r="A51" s="8"/>
      <c r="B51" s="14"/>
      <c r="C51" s="24"/>
      <c r="D51" s="43"/>
      <c r="E51" s="44"/>
      <c r="F51" s="45">
        <f t="shared" si="5"/>
        <v>0</v>
      </c>
      <c r="G51" s="45">
        <f t="shared" si="7"/>
        <v>0</v>
      </c>
      <c r="H51" s="45">
        <f t="shared" si="8"/>
        <v>0</v>
      </c>
      <c r="I51" s="25"/>
      <c r="J51" s="43"/>
      <c r="K51" s="43"/>
      <c r="L51" s="43"/>
      <c r="M51" s="43"/>
      <c r="N51" s="45"/>
      <c r="O51" s="45">
        <f t="shared" si="6"/>
        <v>0</v>
      </c>
      <c r="P51" s="43"/>
      <c r="Q51" s="25"/>
      <c r="R51" s="44"/>
      <c r="S51" s="43"/>
      <c r="T51" s="45"/>
      <c r="U51" s="24"/>
      <c r="V51" s="17"/>
      <c r="W51" s="8"/>
    </row>
    <row r="52" s="4" customFormat="1" customHeight="1" spans="1:23">
      <c r="A52" s="8"/>
      <c r="B52" s="14"/>
      <c r="C52" s="24"/>
      <c r="D52" s="43"/>
      <c r="E52" s="44"/>
      <c r="F52" s="45">
        <f t="shared" si="5"/>
        <v>0</v>
      </c>
      <c r="G52" s="45">
        <f t="shared" si="7"/>
        <v>0</v>
      </c>
      <c r="H52" s="45">
        <f t="shared" si="8"/>
        <v>0</v>
      </c>
      <c r="I52" s="25"/>
      <c r="J52" s="43"/>
      <c r="K52" s="43"/>
      <c r="L52" s="43"/>
      <c r="M52" s="43"/>
      <c r="N52" s="45"/>
      <c r="O52" s="45">
        <f t="shared" si="6"/>
        <v>0</v>
      </c>
      <c r="P52" s="43"/>
      <c r="Q52" s="25"/>
      <c r="R52" s="44"/>
      <c r="S52" s="43"/>
      <c r="T52" s="45"/>
      <c r="U52" s="24"/>
      <c r="V52" s="17"/>
      <c r="W52" s="8"/>
    </row>
    <row r="53" s="4" customFormat="1" customHeight="1" spans="1:23">
      <c r="A53" s="8"/>
      <c r="B53" s="14"/>
      <c r="C53" s="24"/>
      <c r="D53" s="43"/>
      <c r="E53" s="44"/>
      <c r="F53" s="45">
        <f t="shared" si="5"/>
        <v>0</v>
      </c>
      <c r="G53" s="45">
        <f t="shared" si="7"/>
        <v>0</v>
      </c>
      <c r="H53" s="45">
        <f t="shared" si="8"/>
        <v>0</v>
      </c>
      <c r="I53" s="25"/>
      <c r="J53" s="43"/>
      <c r="K53" s="43"/>
      <c r="L53" s="43"/>
      <c r="M53" s="43"/>
      <c r="N53" s="45"/>
      <c r="O53" s="45">
        <f t="shared" si="6"/>
        <v>0</v>
      </c>
      <c r="P53" s="43"/>
      <c r="Q53" s="25"/>
      <c r="R53" s="44"/>
      <c r="S53" s="43"/>
      <c r="T53" s="45"/>
      <c r="U53" s="24"/>
      <c r="V53" s="17"/>
      <c r="W53" s="8"/>
    </row>
    <row r="54" s="4" customFormat="1" customHeight="1" spans="1:23">
      <c r="A54" s="8"/>
      <c r="B54" s="14"/>
      <c r="C54" s="24"/>
      <c r="D54" s="43"/>
      <c r="E54" s="44"/>
      <c r="F54" s="45">
        <f t="shared" si="5"/>
        <v>0</v>
      </c>
      <c r="G54" s="45">
        <f t="shared" si="7"/>
        <v>0</v>
      </c>
      <c r="H54" s="45">
        <f t="shared" si="8"/>
        <v>0</v>
      </c>
      <c r="I54" s="25"/>
      <c r="J54" s="43"/>
      <c r="K54" s="43"/>
      <c r="L54" s="43"/>
      <c r="M54" s="43"/>
      <c r="N54" s="45"/>
      <c r="O54" s="45">
        <f t="shared" si="6"/>
        <v>0</v>
      </c>
      <c r="P54" s="43"/>
      <c r="Q54" s="25"/>
      <c r="R54" s="44"/>
      <c r="S54" s="43"/>
      <c r="T54" s="45"/>
      <c r="U54" s="24"/>
      <c r="V54" s="17"/>
      <c r="W54" s="8"/>
    </row>
    <row r="55" s="4" customFormat="1" customHeight="1" spans="1:23">
      <c r="A55" s="8"/>
      <c r="B55" s="14"/>
      <c r="C55" s="24"/>
      <c r="D55" s="43"/>
      <c r="E55" s="44"/>
      <c r="F55" s="45">
        <f t="shared" si="5"/>
        <v>0</v>
      </c>
      <c r="G55" s="45">
        <f t="shared" si="7"/>
        <v>0</v>
      </c>
      <c r="H55" s="45">
        <f t="shared" si="8"/>
        <v>0</v>
      </c>
      <c r="I55" s="25"/>
      <c r="J55" s="43"/>
      <c r="K55" s="43"/>
      <c r="L55" s="43"/>
      <c r="M55" s="43"/>
      <c r="N55" s="45"/>
      <c r="O55" s="45">
        <f t="shared" si="6"/>
        <v>0</v>
      </c>
      <c r="P55" s="43"/>
      <c r="Q55" s="25"/>
      <c r="R55" s="44"/>
      <c r="S55" s="43"/>
      <c r="T55" s="45"/>
      <c r="U55" s="24"/>
      <c r="V55" s="17"/>
      <c r="W55" s="8"/>
    </row>
    <row r="56" s="4" customFormat="1" customHeight="1" spans="1:23">
      <c r="A56" s="8"/>
      <c r="B56" s="14"/>
      <c r="C56" s="24"/>
      <c r="D56" s="43"/>
      <c r="E56" s="44"/>
      <c r="F56" s="45">
        <f t="shared" si="5"/>
        <v>0</v>
      </c>
      <c r="G56" s="45">
        <f t="shared" si="7"/>
        <v>0</v>
      </c>
      <c r="H56" s="45">
        <f t="shared" si="8"/>
        <v>0</v>
      </c>
      <c r="I56" s="25"/>
      <c r="J56" s="43"/>
      <c r="K56" s="43"/>
      <c r="L56" s="43"/>
      <c r="M56" s="43"/>
      <c r="N56" s="45"/>
      <c r="O56" s="45">
        <f t="shared" si="6"/>
        <v>0</v>
      </c>
      <c r="P56" s="43"/>
      <c r="Q56" s="25"/>
      <c r="R56" s="44"/>
      <c r="S56" s="43"/>
      <c r="T56" s="45"/>
      <c r="U56" s="24"/>
      <c r="V56" s="17"/>
      <c r="W56" s="8"/>
    </row>
    <row r="57" s="4" customFormat="1" customHeight="1" spans="1:23">
      <c r="A57" s="8"/>
      <c r="B57" s="14"/>
      <c r="C57" s="24"/>
      <c r="D57" s="43"/>
      <c r="E57" s="44"/>
      <c r="F57" s="45">
        <f t="shared" si="5"/>
        <v>0</v>
      </c>
      <c r="G57" s="45">
        <f t="shared" si="7"/>
        <v>0</v>
      </c>
      <c r="H57" s="45">
        <f t="shared" si="8"/>
        <v>0</v>
      </c>
      <c r="I57" s="25"/>
      <c r="J57" s="43"/>
      <c r="K57" s="43"/>
      <c r="L57" s="43"/>
      <c r="M57" s="43"/>
      <c r="N57" s="45"/>
      <c r="O57" s="45">
        <f t="shared" si="6"/>
        <v>0</v>
      </c>
      <c r="P57" s="43"/>
      <c r="Q57" s="25"/>
      <c r="R57" s="44"/>
      <c r="S57" s="43"/>
      <c r="T57" s="45"/>
      <c r="U57" s="24"/>
      <c r="V57" s="17"/>
      <c r="W57" s="8"/>
    </row>
    <row r="58" s="4" customFormat="1" customHeight="1" spans="1:23">
      <c r="A58" s="8"/>
      <c r="B58" s="14"/>
      <c r="C58" s="24"/>
      <c r="D58" s="43"/>
      <c r="E58" s="44"/>
      <c r="F58" s="45">
        <f t="shared" si="5"/>
        <v>0</v>
      </c>
      <c r="G58" s="45">
        <f t="shared" si="7"/>
        <v>0</v>
      </c>
      <c r="H58" s="45">
        <f t="shared" si="8"/>
        <v>0</v>
      </c>
      <c r="I58" s="25"/>
      <c r="J58" s="43"/>
      <c r="K58" s="43"/>
      <c r="L58" s="43"/>
      <c r="M58" s="43"/>
      <c r="N58" s="45"/>
      <c r="O58" s="45">
        <f t="shared" si="6"/>
        <v>0</v>
      </c>
      <c r="P58" s="43"/>
      <c r="Q58" s="25"/>
      <c r="R58" s="44"/>
      <c r="S58" s="43"/>
      <c r="T58" s="45"/>
      <c r="U58" s="24"/>
      <c r="V58" s="17"/>
      <c r="W58" s="8"/>
    </row>
    <row r="59" s="4" customFormat="1" customHeight="1" spans="1:23">
      <c r="A59" s="8"/>
      <c r="B59" s="14"/>
      <c r="C59" s="24"/>
      <c r="D59" s="43"/>
      <c r="E59" s="44"/>
      <c r="F59" s="45">
        <f t="shared" si="5"/>
        <v>0</v>
      </c>
      <c r="G59" s="45">
        <f t="shared" si="7"/>
        <v>0</v>
      </c>
      <c r="H59" s="45">
        <f t="shared" si="8"/>
        <v>0</v>
      </c>
      <c r="I59" s="25"/>
      <c r="J59" s="43"/>
      <c r="K59" s="43"/>
      <c r="L59" s="43"/>
      <c r="M59" s="43"/>
      <c r="N59" s="45"/>
      <c r="O59" s="45">
        <f t="shared" si="6"/>
        <v>0</v>
      </c>
      <c r="P59" s="43"/>
      <c r="Q59" s="25"/>
      <c r="R59" s="44"/>
      <c r="S59" s="43"/>
      <c r="T59" s="45"/>
      <c r="U59" s="24"/>
      <c r="V59" s="17"/>
      <c r="W59" s="8"/>
    </row>
    <row r="60" s="4" customFormat="1" customHeight="1" spans="1:23">
      <c r="A60" s="8"/>
      <c r="B60" s="14"/>
      <c r="C60" s="24"/>
      <c r="D60" s="43"/>
      <c r="E60" s="44"/>
      <c r="F60" s="45">
        <f t="shared" ref="F60:F91" si="9">SUMIFS($O$13:$O$1000,$J$13:$J$1000,$D60)</f>
        <v>0</v>
      </c>
      <c r="G60" s="45">
        <f t="shared" si="7"/>
        <v>0</v>
      </c>
      <c r="H60" s="45">
        <f t="shared" si="8"/>
        <v>0</v>
      </c>
      <c r="I60" s="25"/>
      <c r="J60" s="43"/>
      <c r="K60" s="43"/>
      <c r="L60" s="43"/>
      <c r="M60" s="43"/>
      <c r="N60" s="45"/>
      <c r="O60" s="45">
        <f t="shared" si="6"/>
        <v>0</v>
      </c>
      <c r="P60" s="43"/>
      <c r="Q60" s="25"/>
      <c r="R60" s="44"/>
      <c r="S60" s="43"/>
      <c r="T60" s="45"/>
      <c r="U60" s="24"/>
      <c r="V60" s="17"/>
      <c r="W60" s="8"/>
    </row>
    <row r="61" s="4" customFormat="1" customHeight="1" spans="1:23">
      <c r="A61" s="8"/>
      <c r="B61" s="14"/>
      <c r="C61" s="24"/>
      <c r="D61" s="43"/>
      <c r="E61" s="44"/>
      <c r="F61" s="45">
        <f t="shared" si="9"/>
        <v>0</v>
      </c>
      <c r="G61" s="45">
        <f t="shared" si="7"/>
        <v>0</v>
      </c>
      <c r="H61" s="45">
        <f t="shared" si="8"/>
        <v>0</v>
      </c>
      <c r="I61" s="25"/>
      <c r="J61" s="43"/>
      <c r="K61" s="43"/>
      <c r="L61" s="43"/>
      <c r="M61" s="43"/>
      <c r="N61" s="45"/>
      <c r="O61" s="45">
        <f t="shared" si="6"/>
        <v>0</v>
      </c>
      <c r="P61" s="43"/>
      <c r="Q61" s="25"/>
      <c r="R61" s="44"/>
      <c r="S61" s="43"/>
      <c r="T61" s="45"/>
      <c r="U61" s="24"/>
      <c r="V61" s="17"/>
      <c r="W61" s="8"/>
    </row>
    <row r="62" s="4" customFormat="1" customHeight="1" spans="1:23">
      <c r="A62" s="8"/>
      <c r="B62" s="14"/>
      <c r="C62" s="24"/>
      <c r="D62" s="43"/>
      <c r="E62" s="44"/>
      <c r="F62" s="45">
        <f t="shared" si="9"/>
        <v>0</v>
      </c>
      <c r="G62" s="45">
        <f t="shared" si="7"/>
        <v>0</v>
      </c>
      <c r="H62" s="45">
        <f t="shared" si="8"/>
        <v>0</v>
      </c>
      <c r="I62" s="25"/>
      <c r="J62" s="43"/>
      <c r="K62" s="43"/>
      <c r="L62" s="43"/>
      <c r="M62" s="43"/>
      <c r="N62" s="45"/>
      <c r="O62" s="45">
        <f t="shared" si="6"/>
        <v>0</v>
      </c>
      <c r="P62" s="43"/>
      <c r="Q62" s="25"/>
      <c r="R62" s="44"/>
      <c r="S62" s="43"/>
      <c r="T62" s="45"/>
      <c r="U62" s="24"/>
      <c r="V62" s="17"/>
      <c r="W62" s="8"/>
    </row>
    <row r="63" s="4" customFormat="1" customHeight="1" spans="1:23">
      <c r="A63" s="8"/>
      <c r="B63" s="14"/>
      <c r="C63" s="24"/>
      <c r="D63" s="43"/>
      <c r="E63" s="44"/>
      <c r="F63" s="45">
        <f t="shared" si="9"/>
        <v>0</v>
      </c>
      <c r="G63" s="45">
        <f t="shared" si="7"/>
        <v>0</v>
      </c>
      <c r="H63" s="45">
        <f t="shared" si="8"/>
        <v>0</v>
      </c>
      <c r="I63" s="25"/>
      <c r="J63" s="43"/>
      <c r="K63" s="43"/>
      <c r="L63" s="43"/>
      <c r="M63" s="43"/>
      <c r="N63" s="45"/>
      <c r="O63" s="45">
        <f t="shared" si="6"/>
        <v>0</v>
      </c>
      <c r="P63" s="43"/>
      <c r="Q63" s="25"/>
      <c r="R63" s="44"/>
      <c r="S63" s="43"/>
      <c r="T63" s="45"/>
      <c r="U63" s="24"/>
      <c r="V63" s="17"/>
      <c r="W63" s="8"/>
    </row>
    <row r="64" s="4" customFormat="1" customHeight="1" spans="1:23">
      <c r="A64" s="8"/>
      <c r="B64" s="14"/>
      <c r="C64" s="24"/>
      <c r="D64" s="43"/>
      <c r="E64" s="44"/>
      <c r="F64" s="45">
        <f t="shared" si="9"/>
        <v>0</v>
      </c>
      <c r="G64" s="45">
        <f t="shared" si="7"/>
        <v>0</v>
      </c>
      <c r="H64" s="45">
        <f t="shared" si="8"/>
        <v>0</v>
      </c>
      <c r="I64" s="25"/>
      <c r="J64" s="43"/>
      <c r="K64" s="43"/>
      <c r="L64" s="43"/>
      <c r="M64" s="43"/>
      <c r="N64" s="45"/>
      <c r="O64" s="45">
        <f t="shared" si="6"/>
        <v>0</v>
      </c>
      <c r="P64" s="43"/>
      <c r="Q64" s="25"/>
      <c r="R64" s="44"/>
      <c r="S64" s="43"/>
      <c r="T64" s="45"/>
      <c r="U64" s="24"/>
      <c r="V64" s="17"/>
      <c r="W64" s="8"/>
    </row>
    <row r="65" s="4" customFormat="1" customHeight="1" spans="1:23">
      <c r="A65" s="8"/>
      <c r="B65" s="14"/>
      <c r="C65" s="24"/>
      <c r="D65" s="43"/>
      <c r="E65" s="44"/>
      <c r="F65" s="45">
        <f t="shared" si="9"/>
        <v>0</v>
      </c>
      <c r="G65" s="45">
        <f t="shared" si="7"/>
        <v>0</v>
      </c>
      <c r="H65" s="45">
        <f t="shared" si="8"/>
        <v>0</v>
      </c>
      <c r="I65" s="25"/>
      <c r="J65" s="43"/>
      <c r="K65" s="43"/>
      <c r="L65" s="43"/>
      <c r="M65" s="43"/>
      <c r="N65" s="45"/>
      <c r="O65" s="45">
        <f t="shared" si="6"/>
        <v>0</v>
      </c>
      <c r="P65" s="43"/>
      <c r="Q65" s="25"/>
      <c r="R65" s="44"/>
      <c r="S65" s="43"/>
      <c r="T65" s="45"/>
      <c r="U65" s="24"/>
      <c r="V65" s="17"/>
      <c r="W65" s="8"/>
    </row>
    <row r="66" s="4" customFormat="1" customHeight="1" spans="1:23">
      <c r="A66" s="8"/>
      <c r="B66" s="14"/>
      <c r="C66" s="24"/>
      <c r="D66" s="43"/>
      <c r="E66" s="44"/>
      <c r="F66" s="45">
        <f t="shared" si="9"/>
        <v>0</v>
      </c>
      <c r="G66" s="45">
        <f t="shared" si="7"/>
        <v>0</v>
      </c>
      <c r="H66" s="45">
        <f t="shared" si="8"/>
        <v>0</v>
      </c>
      <c r="I66" s="25"/>
      <c r="J66" s="43"/>
      <c r="K66" s="43"/>
      <c r="L66" s="43"/>
      <c r="M66" s="43"/>
      <c r="N66" s="45"/>
      <c r="O66" s="45">
        <f t="shared" si="6"/>
        <v>0</v>
      </c>
      <c r="P66" s="43"/>
      <c r="Q66" s="25"/>
      <c r="R66" s="44"/>
      <c r="S66" s="43"/>
      <c r="T66" s="45"/>
      <c r="U66" s="24"/>
      <c r="V66" s="17"/>
      <c r="W66" s="8"/>
    </row>
    <row r="67" s="4" customFormat="1" customHeight="1" spans="1:23">
      <c r="A67" s="8"/>
      <c r="B67" s="14"/>
      <c r="C67" s="24"/>
      <c r="D67" s="43"/>
      <c r="E67" s="44"/>
      <c r="F67" s="45">
        <f t="shared" si="9"/>
        <v>0</v>
      </c>
      <c r="G67" s="45">
        <f t="shared" si="7"/>
        <v>0</v>
      </c>
      <c r="H67" s="45">
        <f t="shared" si="8"/>
        <v>0</v>
      </c>
      <c r="I67" s="25"/>
      <c r="J67" s="43"/>
      <c r="K67" s="43"/>
      <c r="L67" s="43"/>
      <c r="M67" s="43"/>
      <c r="N67" s="45"/>
      <c r="O67" s="45">
        <f t="shared" si="6"/>
        <v>0</v>
      </c>
      <c r="P67" s="43"/>
      <c r="Q67" s="25"/>
      <c r="R67" s="44"/>
      <c r="S67" s="43"/>
      <c r="T67" s="45"/>
      <c r="U67" s="24"/>
      <c r="V67" s="17"/>
      <c r="W67" s="8"/>
    </row>
    <row r="68" s="4" customFormat="1" customHeight="1" spans="1:23">
      <c r="A68" s="8"/>
      <c r="B68" s="14"/>
      <c r="C68" s="24"/>
      <c r="D68" s="43"/>
      <c r="E68" s="44"/>
      <c r="F68" s="45">
        <f t="shared" si="9"/>
        <v>0</v>
      </c>
      <c r="G68" s="45">
        <f t="shared" si="7"/>
        <v>0</v>
      </c>
      <c r="H68" s="45">
        <f t="shared" si="8"/>
        <v>0</v>
      </c>
      <c r="I68" s="25"/>
      <c r="J68" s="43"/>
      <c r="K68" s="43"/>
      <c r="L68" s="43"/>
      <c r="M68" s="43"/>
      <c r="N68" s="45"/>
      <c r="O68" s="45">
        <f t="shared" ref="O68:O108" si="10">M68*N68</f>
        <v>0</v>
      </c>
      <c r="P68" s="43"/>
      <c r="Q68" s="25"/>
      <c r="R68" s="44"/>
      <c r="S68" s="43"/>
      <c r="T68" s="45"/>
      <c r="U68" s="24"/>
      <c r="V68" s="17"/>
      <c r="W68" s="8"/>
    </row>
    <row r="69" s="4" customFormat="1" customHeight="1" spans="1:23">
      <c r="A69" s="8"/>
      <c r="B69" s="14"/>
      <c r="C69" s="24"/>
      <c r="D69" s="43"/>
      <c r="E69" s="44"/>
      <c r="F69" s="45">
        <f t="shared" si="9"/>
        <v>0</v>
      </c>
      <c r="G69" s="45">
        <f t="shared" si="7"/>
        <v>0</v>
      </c>
      <c r="H69" s="45">
        <f t="shared" si="8"/>
        <v>0</v>
      </c>
      <c r="I69" s="25"/>
      <c r="J69" s="43"/>
      <c r="K69" s="43"/>
      <c r="L69" s="43"/>
      <c r="M69" s="43"/>
      <c r="N69" s="45"/>
      <c r="O69" s="45">
        <f t="shared" si="10"/>
        <v>0</v>
      </c>
      <c r="P69" s="43"/>
      <c r="Q69" s="25"/>
      <c r="R69" s="44"/>
      <c r="S69" s="43"/>
      <c r="T69" s="45"/>
      <c r="U69" s="24"/>
      <c r="V69" s="17"/>
      <c r="W69" s="8"/>
    </row>
    <row r="70" s="4" customFormat="1" customHeight="1" spans="1:23">
      <c r="A70" s="8"/>
      <c r="B70" s="14"/>
      <c r="C70" s="24"/>
      <c r="D70" s="43"/>
      <c r="E70" s="44"/>
      <c r="F70" s="45">
        <f t="shared" si="9"/>
        <v>0</v>
      </c>
      <c r="G70" s="45">
        <f t="shared" si="7"/>
        <v>0</v>
      </c>
      <c r="H70" s="45">
        <f t="shared" si="8"/>
        <v>0</v>
      </c>
      <c r="I70" s="25"/>
      <c r="J70" s="43"/>
      <c r="K70" s="43"/>
      <c r="L70" s="43"/>
      <c r="M70" s="43"/>
      <c r="N70" s="45"/>
      <c r="O70" s="45">
        <f t="shared" si="10"/>
        <v>0</v>
      </c>
      <c r="P70" s="43"/>
      <c r="Q70" s="25"/>
      <c r="R70" s="44"/>
      <c r="S70" s="43"/>
      <c r="T70" s="45"/>
      <c r="U70" s="24"/>
      <c r="V70" s="17"/>
      <c r="W70" s="8"/>
    </row>
    <row r="71" s="4" customFormat="1" customHeight="1" spans="1:23">
      <c r="A71" s="8"/>
      <c r="B71" s="14"/>
      <c r="C71" s="24"/>
      <c r="D71" s="43"/>
      <c r="E71" s="44"/>
      <c r="F71" s="45">
        <f t="shared" si="9"/>
        <v>0</v>
      </c>
      <c r="G71" s="45">
        <f t="shared" si="7"/>
        <v>0</v>
      </c>
      <c r="H71" s="45">
        <f t="shared" si="8"/>
        <v>0</v>
      </c>
      <c r="I71" s="25"/>
      <c r="J71" s="43"/>
      <c r="K71" s="43"/>
      <c r="L71" s="43"/>
      <c r="M71" s="43"/>
      <c r="N71" s="45"/>
      <c r="O71" s="45">
        <f t="shared" si="10"/>
        <v>0</v>
      </c>
      <c r="P71" s="43"/>
      <c r="Q71" s="25"/>
      <c r="R71" s="44"/>
      <c r="S71" s="43"/>
      <c r="T71" s="45"/>
      <c r="U71" s="24"/>
      <c r="V71" s="17"/>
      <c r="W71" s="8"/>
    </row>
    <row r="72" s="4" customFormat="1" customHeight="1" spans="1:23">
      <c r="A72" s="8"/>
      <c r="B72" s="14"/>
      <c r="C72" s="24"/>
      <c r="D72" s="43"/>
      <c r="E72" s="44"/>
      <c r="F72" s="45">
        <f t="shared" si="9"/>
        <v>0</v>
      </c>
      <c r="G72" s="45">
        <f t="shared" si="7"/>
        <v>0</v>
      </c>
      <c r="H72" s="45">
        <f t="shared" si="8"/>
        <v>0</v>
      </c>
      <c r="I72" s="25"/>
      <c r="J72" s="43"/>
      <c r="K72" s="43"/>
      <c r="L72" s="43"/>
      <c r="M72" s="43"/>
      <c r="N72" s="45"/>
      <c r="O72" s="45">
        <f t="shared" si="10"/>
        <v>0</v>
      </c>
      <c r="P72" s="43"/>
      <c r="Q72" s="25"/>
      <c r="R72" s="44"/>
      <c r="S72" s="43"/>
      <c r="T72" s="45"/>
      <c r="U72" s="24"/>
      <c r="V72" s="17"/>
      <c r="W72" s="8"/>
    </row>
    <row r="73" s="4" customFormat="1" customHeight="1" spans="1:23">
      <c r="A73" s="8"/>
      <c r="B73" s="14"/>
      <c r="C73" s="24"/>
      <c r="D73" s="43"/>
      <c r="E73" s="44"/>
      <c r="F73" s="45">
        <f t="shared" si="9"/>
        <v>0</v>
      </c>
      <c r="G73" s="45">
        <f t="shared" si="7"/>
        <v>0</v>
      </c>
      <c r="H73" s="45">
        <f t="shared" si="8"/>
        <v>0</v>
      </c>
      <c r="I73" s="25"/>
      <c r="J73" s="43"/>
      <c r="K73" s="43"/>
      <c r="L73" s="43"/>
      <c r="M73" s="43"/>
      <c r="N73" s="45"/>
      <c r="O73" s="45">
        <f t="shared" si="10"/>
        <v>0</v>
      </c>
      <c r="P73" s="43"/>
      <c r="Q73" s="25"/>
      <c r="R73" s="44"/>
      <c r="S73" s="43"/>
      <c r="T73" s="45"/>
      <c r="U73" s="24"/>
      <c r="V73" s="17"/>
      <c r="W73" s="8"/>
    </row>
    <row r="74" s="4" customFormat="1" customHeight="1" spans="1:23">
      <c r="A74" s="8"/>
      <c r="B74" s="14"/>
      <c r="C74" s="24"/>
      <c r="D74" s="43"/>
      <c r="E74" s="44"/>
      <c r="F74" s="45">
        <f t="shared" si="9"/>
        <v>0</v>
      </c>
      <c r="G74" s="45">
        <f t="shared" si="7"/>
        <v>0</v>
      </c>
      <c r="H74" s="45">
        <f t="shared" si="8"/>
        <v>0</v>
      </c>
      <c r="I74" s="25"/>
      <c r="J74" s="43"/>
      <c r="K74" s="43"/>
      <c r="L74" s="43"/>
      <c r="M74" s="43"/>
      <c r="N74" s="45"/>
      <c r="O74" s="45">
        <f t="shared" si="10"/>
        <v>0</v>
      </c>
      <c r="P74" s="43"/>
      <c r="Q74" s="25"/>
      <c r="R74" s="44"/>
      <c r="S74" s="43"/>
      <c r="T74" s="45"/>
      <c r="U74" s="24"/>
      <c r="V74" s="17"/>
      <c r="W74" s="8"/>
    </row>
    <row r="75" s="4" customFormat="1" customHeight="1" spans="1:23">
      <c r="A75" s="8"/>
      <c r="B75" s="14"/>
      <c r="C75" s="24"/>
      <c r="D75" s="43"/>
      <c r="E75" s="44"/>
      <c r="F75" s="45">
        <f t="shared" si="9"/>
        <v>0</v>
      </c>
      <c r="G75" s="45">
        <f t="shared" si="7"/>
        <v>0</v>
      </c>
      <c r="H75" s="45">
        <f t="shared" si="8"/>
        <v>0</v>
      </c>
      <c r="I75" s="25"/>
      <c r="J75" s="43"/>
      <c r="K75" s="43"/>
      <c r="L75" s="43"/>
      <c r="M75" s="43"/>
      <c r="N75" s="45"/>
      <c r="O75" s="45">
        <f t="shared" si="10"/>
        <v>0</v>
      </c>
      <c r="P75" s="43"/>
      <c r="Q75" s="25"/>
      <c r="R75" s="44"/>
      <c r="S75" s="43"/>
      <c r="T75" s="45"/>
      <c r="U75" s="24"/>
      <c r="V75" s="17"/>
      <c r="W75" s="8"/>
    </row>
    <row r="76" s="4" customFormat="1" customHeight="1" spans="1:23">
      <c r="A76" s="8"/>
      <c r="B76" s="14"/>
      <c r="C76" s="24"/>
      <c r="D76" s="43"/>
      <c r="E76" s="44"/>
      <c r="F76" s="45">
        <f t="shared" si="9"/>
        <v>0</v>
      </c>
      <c r="G76" s="45">
        <f t="shared" si="7"/>
        <v>0</v>
      </c>
      <c r="H76" s="45">
        <f t="shared" si="8"/>
        <v>0</v>
      </c>
      <c r="I76" s="25"/>
      <c r="J76" s="43"/>
      <c r="K76" s="43"/>
      <c r="L76" s="43"/>
      <c r="M76" s="43"/>
      <c r="N76" s="45"/>
      <c r="O76" s="45">
        <f t="shared" si="10"/>
        <v>0</v>
      </c>
      <c r="P76" s="43"/>
      <c r="Q76" s="25"/>
      <c r="R76" s="44"/>
      <c r="S76" s="43"/>
      <c r="T76" s="45"/>
      <c r="U76" s="24"/>
      <c r="V76" s="17"/>
      <c r="W76" s="8"/>
    </row>
    <row r="77" s="4" customFormat="1" customHeight="1" spans="1:23">
      <c r="A77" s="8"/>
      <c r="B77" s="14"/>
      <c r="C77" s="24"/>
      <c r="D77" s="43"/>
      <c r="E77" s="44"/>
      <c r="F77" s="45">
        <f t="shared" si="9"/>
        <v>0</v>
      </c>
      <c r="G77" s="45">
        <f t="shared" si="7"/>
        <v>0</v>
      </c>
      <c r="H77" s="45">
        <f t="shared" si="8"/>
        <v>0</v>
      </c>
      <c r="I77" s="25"/>
      <c r="J77" s="43"/>
      <c r="K77" s="43"/>
      <c r="L77" s="43"/>
      <c r="M77" s="43"/>
      <c r="N77" s="45"/>
      <c r="O77" s="45">
        <f t="shared" si="10"/>
        <v>0</v>
      </c>
      <c r="P77" s="43"/>
      <c r="Q77" s="25"/>
      <c r="R77" s="44"/>
      <c r="S77" s="43"/>
      <c r="T77" s="45"/>
      <c r="U77" s="24"/>
      <c r="V77" s="17"/>
      <c r="W77" s="8"/>
    </row>
    <row r="78" s="4" customFormat="1" customHeight="1" spans="1:23">
      <c r="A78" s="8"/>
      <c r="B78" s="14"/>
      <c r="C78" s="24"/>
      <c r="D78" s="43"/>
      <c r="E78" s="44"/>
      <c r="F78" s="45">
        <f t="shared" si="9"/>
        <v>0</v>
      </c>
      <c r="G78" s="45">
        <f t="shared" ref="G78:G108" si="11">SUMIFS($T$13:$T$1000,$S$13:$S$1000,$D78)</f>
        <v>0</v>
      </c>
      <c r="H78" s="45">
        <f t="shared" ref="H78:H108" si="12">F78-G78</f>
        <v>0</v>
      </c>
      <c r="I78" s="25"/>
      <c r="J78" s="43"/>
      <c r="K78" s="43"/>
      <c r="L78" s="43"/>
      <c r="M78" s="43"/>
      <c r="N78" s="45"/>
      <c r="O78" s="45">
        <f t="shared" si="10"/>
        <v>0</v>
      </c>
      <c r="P78" s="43"/>
      <c r="Q78" s="25"/>
      <c r="R78" s="44"/>
      <c r="S78" s="43"/>
      <c r="T78" s="45"/>
      <c r="U78" s="24"/>
      <c r="V78" s="17"/>
      <c r="W78" s="8"/>
    </row>
    <row r="79" s="4" customFormat="1" customHeight="1" spans="1:23">
      <c r="A79" s="8"/>
      <c r="B79" s="14"/>
      <c r="C79" s="24"/>
      <c r="D79" s="43"/>
      <c r="E79" s="44"/>
      <c r="F79" s="45">
        <f t="shared" si="9"/>
        <v>0</v>
      </c>
      <c r="G79" s="45">
        <f t="shared" si="11"/>
        <v>0</v>
      </c>
      <c r="H79" s="45">
        <f t="shared" si="12"/>
        <v>0</v>
      </c>
      <c r="I79" s="25"/>
      <c r="J79" s="43"/>
      <c r="K79" s="43"/>
      <c r="L79" s="43"/>
      <c r="M79" s="43"/>
      <c r="N79" s="45"/>
      <c r="O79" s="45">
        <f t="shared" si="10"/>
        <v>0</v>
      </c>
      <c r="P79" s="43"/>
      <c r="Q79" s="25"/>
      <c r="R79" s="44"/>
      <c r="S79" s="43"/>
      <c r="T79" s="45"/>
      <c r="U79" s="24"/>
      <c r="V79" s="17"/>
      <c r="W79" s="8"/>
    </row>
    <row r="80" s="4" customFormat="1" customHeight="1" spans="1:23">
      <c r="A80" s="8"/>
      <c r="B80" s="14"/>
      <c r="C80" s="24"/>
      <c r="D80" s="43"/>
      <c r="E80" s="44"/>
      <c r="F80" s="45">
        <f t="shared" si="9"/>
        <v>0</v>
      </c>
      <c r="G80" s="45">
        <f t="shared" si="11"/>
        <v>0</v>
      </c>
      <c r="H80" s="45">
        <f t="shared" si="12"/>
        <v>0</v>
      </c>
      <c r="I80" s="25"/>
      <c r="J80" s="43"/>
      <c r="K80" s="43"/>
      <c r="L80" s="43"/>
      <c r="M80" s="43"/>
      <c r="N80" s="45"/>
      <c r="O80" s="45">
        <f t="shared" si="10"/>
        <v>0</v>
      </c>
      <c r="P80" s="43"/>
      <c r="Q80" s="25"/>
      <c r="R80" s="44"/>
      <c r="S80" s="43"/>
      <c r="T80" s="45"/>
      <c r="U80" s="24"/>
      <c r="V80" s="17"/>
      <c r="W80" s="8"/>
    </row>
    <row r="81" s="4" customFormat="1" customHeight="1" spans="1:23">
      <c r="A81" s="8"/>
      <c r="B81" s="14"/>
      <c r="C81" s="24"/>
      <c r="D81" s="43"/>
      <c r="E81" s="44"/>
      <c r="F81" s="45">
        <f t="shared" si="9"/>
        <v>0</v>
      </c>
      <c r="G81" s="45">
        <f t="shared" si="11"/>
        <v>0</v>
      </c>
      <c r="H81" s="45">
        <f t="shared" si="12"/>
        <v>0</v>
      </c>
      <c r="I81" s="25"/>
      <c r="J81" s="43"/>
      <c r="K81" s="43"/>
      <c r="L81" s="43"/>
      <c r="M81" s="43"/>
      <c r="N81" s="45"/>
      <c r="O81" s="45">
        <f t="shared" si="10"/>
        <v>0</v>
      </c>
      <c r="P81" s="43"/>
      <c r="Q81" s="25"/>
      <c r="R81" s="44"/>
      <c r="S81" s="43"/>
      <c r="T81" s="45"/>
      <c r="U81" s="24"/>
      <c r="V81" s="17"/>
      <c r="W81" s="8"/>
    </row>
    <row r="82" s="4" customFormat="1" customHeight="1" spans="1:23">
      <c r="A82" s="8"/>
      <c r="B82" s="14"/>
      <c r="C82" s="24"/>
      <c r="D82" s="43"/>
      <c r="E82" s="44"/>
      <c r="F82" s="45">
        <f t="shared" si="9"/>
        <v>0</v>
      </c>
      <c r="G82" s="45">
        <f t="shared" si="11"/>
        <v>0</v>
      </c>
      <c r="H82" s="45">
        <f t="shared" si="12"/>
        <v>0</v>
      </c>
      <c r="I82" s="25"/>
      <c r="J82" s="43"/>
      <c r="K82" s="43"/>
      <c r="L82" s="43"/>
      <c r="M82" s="43"/>
      <c r="N82" s="45"/>
      <c r="O82" s="45">
        <f t="shared" si="10"/>
        <v>0</v>
      </c>
      <c r="P82" s="43"/>
      <c r="Q82" s="25"/>
      <c r="R82" s="44"/>
      <c r="S82" s="43"/>
      <c r="T82" s="45"/>
      <c r="U82" s="24"/>
      <c r="V82" s="17"/>
      <c r="W82" s="8"/>
    </row>
    <row r="83" s="4" customFormat="1" customHeight="1" spans="1:23">
      <c r="A83" s="8"/>
      <c r="B83" s="14"/>
      <c r="C83" s="24"/>
      <c r="D83" s="43"/>
      <c r="E83" s="44"/>
      <c r="F83" s="45">
        <f t="shared" si="9"/>
        <v>0</v>
      </c>
      <c r="G83" s="45">
        <f t="shared" si="11"/>
        <v>0</v>
      </c>
      <c r="H83" s="45">
        <f t="shared" si="12"/>
        <v>0</v>
      </c>
      <c r="I83" s="25"/>
      <c r="J83" s="43"/>
      <c r="K83" s="43"/>
      <c r="L83" s="43"/>
      <c r="M83" s="43"/>
      <c r="N83" s="45"/>
      <c r="O83" s="45">
        <f t="shared" si="10"/>
        <v>0</v>
      </c>
      <c r="P83" s="43"/>
      <c r="Q83" s="25"/>
      <c r="R83" s="44"/>
      <c r="S83" s="43"/>
      <c r="T83" s="45"/>
      <c r="U83" s="24"/>
      <c r="V83" s="17"/>
      <c r="W83" s="8"/>
    </row>
    <row r="84" s="4" customFormat="1" customHeight="1" spans="1:23">
      <c r="A84" s="8"/>
      <c r="B84" s="14"/>
      <c r="C84" s="24"/>
      <c r="D84" s="43"/>
      <c r="E84" s="44"/>
      <c r="F84" s="45">
        <f t="shared" si="9"/>
        <v>0</v>
      </c>
      <c r="G84" s="45">
        <f t="shared" si="11"/>
        <v>0</v>
      </c>
      <c r="H84" s="45">
        <f t="shared" si="12"/>
        <v>0</v>
      </c>
      <c r="I84" s="25"/>
      <c r="J84" s="43"/>
      <c r="K84" s="43"/>
      <c r="L84" s="43"/>
      <c r="M84" s="43"/>
      <c r="N84" s="45"/>
      <c r="O84" s="45">
        <f t="shared" si="10"/>
        <v>0</v>
      </c>
      <c r="P84" s="43"/>
      <c r="Q84" s="25"/>
      <c r="R84" s="44"/>
      <c r="S84" s="43"/>
      <c r="T84" s="45"/>
      <c r="U84" s="24"/>
      <c r="V84" s="17"/>
      <c r="W84" s="8"/>
    </row>
    <row r="85" s="4" customFormat="1" customHeight="1" spans="1:23">
      <c r="A85" s="8"/>
      <c r="B85" s="14"/>
      <c r="C85" s="24"/>
      <c r="D85" s="43"/>
      <c r="E85" s="44"/>
      <c r="F85" s="45">
        <f t="shared" si="9"/>
        <v>0</v>
      </c>
      <c r="G85" s="45">
        <f t="shared" si="11"/>
        <v>0</v>
      </c>
      <c r="H85" s="45">
        <f t="shared" si="12"/>
        <v>0</v>
      </c>
      <c r="I85" s="25"/>
      <c r="J85" s="43"/>
      <c r="K85" s="43"/>
      <c r="L85" s="43"/>
      <c r="M85" s="43"/>
      <c r="N85" s="45"/>
      <c r="O85" s="45">
        <f t="shared" si="10"/>
        <v>0</v>
      </c>
      <c r="P85" s="43"/>
      <c r="Q85" s="25"/>
      <c r="R85" s="44"/>
      <c r="S85" s="43"/>
      <c r="T85" s="45"/>
      <c r="U85" s="24"/>
      <c r="V85" s="17"/>
      <c r="W85" s="8"/>
    </row>
    <row r="86" s="4" customFormat="1" customHeight="1" spans="1:23">
      <c r="A86" s="8"/>
      <c r="B86" s="14"/>
      <c r="C86" s="24"/>
      <c r="D86" s="43"/>
      <c r="E86" s="44"/>
      <c r="F86" s="45">
        <f t="shared" si="9"/>
        <v>0</v>
      </c>
      <c r="G86" s="45">
        <f t="shared" si="11"/>
        <v>0</v>
      </c>
      <c r="H86" s="45">
        <f t="shared" si="12"/>
        <v>0</v>
      </c>
      <c r="I86" s="25"/>
      <c r="J86" s="43"/>
      <c r="K86" s="43"/>
      <c r="L86" s="43"/>
      <c r="M86" s="43"/>
      <c r="N86" s="45"/>
      <c r="O86" s="45">
        <f t="shared" si="10"/>
        <v>0</v>
      </c>
      <c r="P86" s="43"/>
      <c r="Q86" s="25"/>
      <c r="R86" s="44"/>
      <c r="S86" s="43"/>
      <c r="T86" s="45"/>
      <c r="U86" s="24"/>
      <c r="V86" s="17"/>
      <c r="W86" s="8"/>
    </row>
    <row r="87" s="4" customFormat="1" customHeight="1" spans="1:23">
      <c r="A87" s="8"/>
      <c r="B87" s="14"/>
      <c r="C87" s="24"/>
      <c r="D87" s="43"/>
      <c r="E87" s="44"/>
      <c r="F87" s="45">
        <f t="shared" si="9"/>
        <v>0</v>
      </c>
      <c r="G87" s="45">
        <f t="shared" si="11"/>
        <v>0</v>
      </c>
      <c r="H87" s="45">
        <f t="shared" si="12"/>
        <v>0</v>
      </c>
      <c r="I87" s="25"/>
      <c r="J87" s="43"/>
      <c r="K87" s="43"/>
      <c r="L87" s="43"/>
      <c r="M87" s="43"/>
      <c r="N87" s="45"/>
      <c r="O87" s="45">
        <f t="shared" si="10"/>
        <v>0</v>
      </c>
      <c r="P87" s="43"/>
      <c r="Q87" s="25"/>
      <c r="R87" s="44"/>
      <c r="S87" s="43"/>
      <c r="T87" s="45"/>
      <c r="U87" s="24"/>
      <c r="V87" s="17"/>
      <c r="W87" s="8"/>
    </row>
    <row r="88" s="4" customFormat="1" customHeight="1" spans="1:23">
      <c r="A88" s="8"/>
      <c r="B88" s="14"/>
      <c r="C88" s="24"/>
      <c r="D88" s="43"/>
      <c r="E88" s="44"/>
      <c r="F88" s="45">
        <f t="shared" si="9"/>
        <v>0</v>
      </c>
      <c r="G88" s="45">
        <f t="shared" si="11"/>
        <v>0</v>
      </c>
      <c r="H88" s="45">
        <f t="shared" si="12"/>
        <v>0</v>
      </c>
      <c r="I88" s="25"/>
      <c r="J88" s="43"/>
      <c r="K88" s="43"/>
      <c r="L88" s="43"/>
      <c r="M88" s="43"/>
      <c r="N88" s="45"/>
      <c r="O88" s="45">
        <f t="shared" si="10"/>
        <v>0</v>
      </c>
      <c r="P88" s="43"/>
      <c r="Q88" s="25"/>
      <c r="R88" s="44"/>
      <c r="S88" s="43"/>
      <c r="T88" s="45"/>
      <c r="U88" s="24"/>
      <c r="V88" s="17"/>
      <c r="W88" s="8"/>
    </row>
    <row r="89" s="4" customFormat="1" customHeight="1" spans="1:23">
      <c r="A89" s="8"/>
      <c r="B89" s="14"/>
      <c r="C89" s="24"/>
      <c r="D89" s="43"/>
      <c r="E89" s="44"/>
      <c r="F89" s="45">
        <f t="shared" si="9"/>
        <v>0</v>
      </c>
      <c r="G89" s="45">
        <f t="shared" si="11"/>
        <v>0</v>
      </c>
      <c r="H89" s="45">
        <f t="shared" si="12"/>
        <v>0</v>
      </c>
      <c r="I89" s="25"/>
      <c r="J89" s="43"/>
      <c r="K89" s="43"/>
      <c r="L89" s="43"/>
      <c r="M89" s="43"/>
      <c r="N89" s="45"/>
      <c r="O89" s="45">
        <f t="shared" si="10"/>
        <v>0</v>
      </c>
      <c r="P89" s="43"/>
      <c r="Q89" s="25"/>
      <c r="R89" s="44"/>
      <c r="S89" s="43"/>
      <c r="T89" s="45"/>
      <c r="U89" s="24"/>
      <c r="V89" s="17"/>
      <c r="W89" s="8"/>
    </row>
    <row r="90" s="4" customFormat="1" customHeight="1" spans="1:23">
      <c r="A90" s="8"/>
      <c r="B90" s="14"/>
      <c r="C90" s="24"/>
      <c r="D90" s="43"/>
      <c r="E90" s="44"/>
      <c r="F90" s="45">
        <f t="shared" si="9"/>
        <v>0</v>
      </c>
      <c r="G90" s="45">
        <f t="shared" si="11"/>
        <v>0</v>
      </c>
      <c r="H90" s="45">
        <f t="shared" si="12"/>
        <v>0</v>
      </c>
      <c r="I90" s="25"/>
      <c r="J90" s="43"/>
      <c r="K90" s="43"/>
      <c r="L90" s="43"/>
      <c r="M90" s="43"/>
      <c r="N90" s="45"/>
      <c r="O90" s="45">
        <f t="shared" si="10"/>
        <v>0</v>
      </c>
      <c r="P90" s="43"/>
      <c r="Q90" s="25"/>
      <c r="R90" s="44"/>
      <c r="S90" s="43"/>
      <c r="T90" s="45"/>
      <c r="U90" s="24"/>
      <c r="V90" s="17"/>
      <c r="W90" s="8"/>
    </row>
    <row r="91" s="4" customFormat="1" customHeight="1" spans="1:23">
      <c r="A91" s="8"/>
      <c r="B91" s="14"/>
      <c r="C91" s="24"/>
      <c r="D91" s="43"/>
      <c r="E91" s="44"/>
      <c r="F91" s="45">
        <f t="shared" si="9"/>
        <v>0</v>
      </c>
      <c r="G91" s="45">
        <f t="shared" si="11"/>
        <v>0</v>
      </c>
      <c r="H91" s="45">
        <f t="shared" si="12"/>
        <v>0</v>
      </c>
      <c r="I91" s="25"/>
      <c r="J91" s="43"/>
      <c r="K91" s="43"/>
      <c r="L91" s="43"/>
      <c r="M91" s="43"/>
      <c r="N91" s="45"/>
      <c r="O91" s="45">
        <f t="shared" si="10"/>
        <v>0</v>
      </c>
      <c r="P91" s="43"/>
      <c r="Q91" s="25"/>
      <c r="R91" s="44"/>
      <c r="S91" s="43"/>
      <c r="T91" s="45"/>
      <c r="U91" s="24"/>
      <c r="V91" s="17"/>
      <c r="W91" s="8"/>
    </row>
    <row r="92" s="4" customFormat="1" customHeight="1" spans="1:23">
      <c r="A92" s="8"/>
      <c r="B92" s="14"/>
      <c r="C92" s="24"/>
      <c r="D92" s="43"/>
      <c r="E92" s="44"/>
      <c r="F92" s="45">
        <f t="shared" ref="F92:F108" si="13">SUMIFS($O$13:$O$1000,$J$13:$J$1000,$D92)</f>
        <v>0</v>
      </c>
      <c r="G92" s="45">
        <f t="shared" si="11"/>
        <v>0</v>
      </c>
      <c r="H92" s="45">
        <f t="shared" si="12"/>
        <v>0</v>
      </c>
      <c r="I92" s="25"/>
      <c r="J92" s="43"/>
      <c r="K92" s="43"/>
      <c r="L92" s="43"/>
      <c r="M92" s="43"/>
      <c r="N92" s="45"/>
      <c r="O92" s="45">
        <f t="shared" si="10"/>
        <v>0</v>
      </c>
      <c r="P92" s="43"/>
      <c r="Q92" s="25"/>
      <c r="R92" s="44"/>
      <c r="S92" s="43"/>
      <c r="T92" s="45"/>
      <c r="U92" s="24"/>
      <c r="V92" s="17"/>
      <c r="W92" s="8"/>
    </row>
    <row r="93" s="4" customFormat="1" customHeight="1" spans="1:23">
      <c r="A93" s="8"/>
      <c r="B93" s="14"/>
      <c r="C93" s="24"/>
      <c r="D93" s="43"/>
      <c r="E93" s="44"/>
      <c r="F93" s="45">
        <f t="shared" si="13"/>
        <v>0</v>
      </c>
      <c r="G93" s="45">
        <f t="shared" si="11"/>
        <v>0</v>
      </c>
      <c r="H93" s="45">
        <f t="shared" si="12"/>
        <v>0</v>
      </c>
      <c r="I93" s="25"/>
      <c r="J93" s="43"/>
      <c r="K93" s="43"/>
      <c r="L93" s="43"/>
      <c r="M93" s="43"/>
      <c r="N93" s="45"/>
      <c r="O93" s="45">
        <f t="shared" si="10"/>
        <v>0</v>
      </c>
      <c r="P93" s="43"/>
      <c r="Q93" s="25"/>
      <c r="R93" s="44"/>
      <c r="S93" s="43"/>
      <c r="T93" s="45"/>
      <c r="U93" s="24"/>
      <c r="V93" s="17"/>
      <c r="W93" s="8"/>
    </row>
    <row r="94" s="4" customFormat="1" customHeight="1" spans="1:23">
      <c r="A94" s="8"/>
      <c r="B94" s="14"/>
      <c r="C94" s="24"/>
      <c r="D94" s="43"/>
      <c r="E94" s="44"/>
      <c r="F94" s="45">
        <f t="shared" si="13"/>
        <v>0</v>
      </c>
      <c r="G94" s="45">
        <f t="shared" si="11"/>
        <v>0</v>
      </c>
      <c r="H94" s="45">
        <f t="shared" si="12"/>
        <v>0</v>
      </c>
      <c r="I94" s="25"/>
      <c r="J94" s="43"/>
      <c r="K94" s="43"/>
      <c r="L94" s="43"/>
      <c r="M94" s="43"/>
      <c r="N94" s="45"/>
      <c r="O94" s="45">
        <f t="shared" si="10"/>
        <v>0</v>
      </c>
      <c r="P94" s="43"/>
      <c r="Q94" s="25"/>
      <c r="R94" s="44"/>
      <c r="S94" s="43"/>
      <c r="T94" s="45"/>
      <c r="U94" s="24"/>
      <c r="V94" s="17"/>
      <c r="W94" s="8"/>
    </row>
    <row r="95" s="4" customFormat="1" customHeight="1" spans="1:23">
      <c r="A95" s="8"/>
      <c r="B95" s="14"/>
      <c r="C95" s="24"/>
      <c r="D95" s="43"/>
      <c r="E95" s="44"/>
      <c r="F95" s="45">
        <f t="shared" si="13"/>
        <v>0</v>
      </c>
      <c r="G95" s="45">
        <f t="shared" si="11"/>
        <v>0</v>
      </c>
      <c r="H95" s="45">
        <f t="shared" si="12"/>
        <v>0</v>
      </c>
      <c r="I95" s="25"/>
      <c r="J95" s="43"/>
      <c r="K95" s="43"/>
      <c r="L95" s="43"/>
      <c r="M95" s="43"/>
      <c r="N95" s="45"/>
      <c r="O95" s="45">
        <f t="shared" si="10"/>
        <v>0</v>
      </c>
      <c r="P95" s="43"/>
      <c r="Q95" s="25"/>
      <c r="R95" s="44"/>
      <c r="S95" s="43"/>
      <c r="T95" s="45"/>
      <c r="U95" s="24"/>
      <c r="V95" s="17"/>
      <c r="W95" s="8"/>
    </row>
    <row r="96" s="4" customFormat="1" customHeight="1" spans="1:23">
      <c r="A96" s="8"/>
      <c r="B96" s="14"/>
      <c r="C96" s="24"/>
      <c r="D96" s="43"/>
      <c r="E96" s="44"/>
      <c r="F96" s="45">
        <f t="shared" si="13"/>
        <v>0</v>
      </c>
      <c r="G96" s="45">
        <f t="shared" si="11"/>
        <v>0</v>
      </c>
      <c r="H96" s="45">
        <f t="shared" si="12"/>
        <v>0</v>
      </c>
      <c r="I96" s="25"/>
      <c r="J96" s="43"/>
      <c r="K96" s="43"/>
      <c r="L96" s="43"/>
      <c r="M96" s="43"/>
      <c r="N96" s="45"/>
      <c r="O96" s="45">
        <f t="shared" si="10"/>
        <v>0</v>
      </c>
      <c r="P96" s="43"/>
      <c r="Q96" s="25"/>
      <c r="R96" s="44"/>
      <c r="S96" s="43"/>
      <c r="T96" s="45"/>
      <c r="U96" s="24"/>
      <c r="V96" s="17"/>
      <c r="W96" s="8"/>
    </row>
    <row r="97" s="4" customFormat="1" customHeight="1" spans="1:23">
      <c r="A97" s="8"/>
      <c r="B97" s="14"/>
      <c r="C97" s="24"/>
      <c r="D97" s="43"/>
      <c r="E97" s="44"/>
      <c r="F97" s="45">
        <f t="shared" si="13"/>
        <v>0</v>
      </c>
      <c r="G97" s="45">
        <f t="shared" si="11"/>
        <v>0</v>
      </c>
      <c r="H97" s="45">
        <f t="shared" si="12"/>
        <v>0</v>
      </c>
      <c r="I97" s="25"/>
      <c r="J97" s="43"/>
      <c r="K97" s="43"/>
      <c r="L97" s="43"/>
      <c r="M97" s="43"/>
      <c r="N97" s="45"/>
      <c r="O97" s="45">
        <f t="shared" si="10"/>
        <v>0</v>
      </c>
      <c r="P97" s="43"/>
      <c r="Q97" s="25"/>
      <c r="R97" s="44"/>
      <c r="S97" s="43"/>
      <c r="T97" s="45"/>
      <c r="U97" s="24"/>
      <c r="V97" s="17"/>
      <c r="W97" s="8"/>
    </row>
    <row r="98" s="4" customFormat="1" customHeight="1" spans="1:23">
      <c r="A98" s="8"/>
      <c r="B98" s="14"/>
      <c r="C98" s="24"/>
      <c r="D98" s="43"/>
      <c r="E98" s="44"/>
      <c r="F98" s="45">
        <f t="shared" si="13"/>
        <v>0</v>
      </c>
      <c r="G98" s="45">
        <f t="shared" si="11"/>
        <v>0</v>
      </c>
      <c r="H98" s="45">
        <f t="shared" si="12"/>
        <v>0</v>
      </c>
      <c r="I98" s="25"/>
      <c r="J98" s="43"/>
      <c r="K98" s="43"/>
      <c r="L98" s="43"/>
      <c r="M98" s="43"/>
      <c r="N98" s="45"/>
      <c r="O98" s="45">
        <f t="shared" si="10"/>
        <v>0</v>
      </c>
      <c r="P98" s="43"/>
      <c r="Q98" s="25"/>
      <c r="R98" s="44"/>
      <c r="S98" s="43"/>
      <c r="T98" s="45"/>
      <c r="U98" s="24"/>
      <c r="V98" s="17"/>
      <c r="W98" s="8"/>
    </row>
    <row r="99" s="4" customFormat="1" customHeight="1" spans="1:23">
      <c r="A99" s="8"/>
      <c r="B99" s="14"/>
      <c r="C99" s="24"/>
      <c r="D99" s="43"/>
      <c r="E99" s="44"/>
      <c r="F99" s="45">
        <f t="shared" si="13"/>
        <v>0</v>
      </c>
      <c r="G99" s="45">
        <f t="shared" si="11"/>
        <v>0</v>
      </c>
      <c r="H99" s="45">
        <f t="shared" si="12"/>
        <v>0</v>
      </c>
      <c r="I99" s="25"/>
      <c r="J99" s="43"/>
      <c r="K99" s="43"/>
      <c r="L99" s="43"/>
      <c r="M99" s="43"/>
      <c r="N99" s="45"/>
      <c r="O99" s="45">
        <f t="shared" si="10"/>
        <v>0</v>
      </c>
      <c r="P99" s="43"/>
      <c r="Q99" s="25"/>
      <c r="R99" s="44"/>
      <c r="S99" s="43"/>
      <c r="T99" s="45"/>
      <c r="U99" s="24"/>
      <c r="V99" s="17"/>
      <c r="W99" s="8"/>
    </row>
    <row r="100" s="4" customFormat="1" customHeight="1" spans="1:23">
      <c r="A100" s="8"/>
      <c r="B100" s="14"/>
      <c r="C100" s="24"/>
      <c r="D100" s="43"/>
      <c r="E100" s="44"/>
      <c r="F100" s="45">
        <f t="shared" si="13"/>
        <v>0</v>
      </c>
      <c r="G100" s="45">
        <f t="shared" si="11"/>
        <v>0</v>
      </c>
      <c r="H100" s="45">
        <f t="shared" si="12"/>
        <v>0</v>
      </c>
      <c r="I100" s="25"/>
      <c r="J100" s="43"/>
      <c r="K100" s="43"/>
      <c r="L100" s="43"/>
      <c r="M100" s="43"/>
      <c r="N100" s="45"/>
      <c r="O100" s="45">
        <f t="shared" si="10"/>
        <v>0</v>
      </c>
      <c r="P100" s="43"/>
      <c r="Q100" s="25"/>
      <c r="R100" s="44"/>
      <c r="S100" s="43"/>
      <c r="T100" s="45"/>
      <c r="U100" s="24"/>
      <c r="V100" s="17"/>
      <c r="W100" s="8"/>
    </row>
    <row r="101" s="4" customFormat="1" customHeight="1" spans="1:23">
      <c r="A101" s="8"/>
      <c r="B101" s="14"/>
      <c r="C101" s="24"/>
      <c r="D101" s="43"/>
      <c r="E101" s="44"/>
      <c r="F101" s="45">
        <f t="shared" si="13"/>
        <v>0</v>
      </c>
      <c r="G101" s="45">
        <f t="shared" si="11"/>
        <v>0</v>
      </c>
      <c r="H101" s="45">
        <f t="shared" si="12"/>
        <v>0</v>
      </c>
      <c r="I101" s="25"/>
      <c r="J101" s="43"/>
      <c r="K101" s="43"/>
      <c r="L101" s="43"/>
      <c r="M101" s="43"/>
      <c r="N101" s="45"/>
      <c r="O101" s="45">
        <f t="shared" si="10"/>
        <v>0</v>
      </c>
      <c r="P101" s="43"/>
      <c r="Q101" s="25"/>
      <c r="R101" s="44"/>
      <c r="S101" s="43"/>
      <c r="T101" s="45"/>
      <c r="U101" s="24"/>
      <c r="V101" s="17"/>
      <c r="W101" s="8"/>
    </row>
    <row r="102" s="4" customFormat="1" customHeight="1" spans="1:23">
      <c r="A102" s="8"/>
      <c r="B102" s="14"/>
      <c r="C102" s="24"/>
      <c r="D102" s="43"/>
      <c r="E102" s="44"/>
      <c r="F102" s="45">
        <f t="shared" si="13"/>
        <v>0</v>
      </c>
      <c r="G102" s="45">
        <f t="shared" si="11"/>
        <v>0</v>
      </c>
      <c r="H102" s="45">
        <f t="shared" si="12"/>
        <v>0</v>
      </c>
      <c r="I102" s="25"/>
      <c r="J102" s="43"/>
      <c r="K102" s="43"/>
      <c r="L102" s="43"/>
      <c r="M102" s="43"/>
      <c r="N102" s="45"/>
      <c r="O102" s="45">
        <f t="shared" si="10"/>
        <v>0</v>
      </c>
      <c r="P102" s="43"/>
      <c r="Q102" s="25"/>
      <c r="R102" s="44"/>
      <c r="S102" s="43"/>
      <c r="T102" s="45"/>
      <c r="U102" s="24"/>
      <c r="V102" s="17"/>
      <c r="W102" s="8"/>
    </row>
    <row r="103" s="4" customFormat="1" customHeight="1" spans="1:23">
      <c r="A103" s="8"/>
      <c r="B103" s="14"/>
      <c r="C103" s="24"/>
      <c r="D103" s="43"/>
      <c r="E103" s="44"/>
      <c r="F103" s="45">
        <f t="shared" si="13"/>
        <v>0</v>
      </c>
      <c r="G103" s="45">
        <f t="shared" si="11"/>
        <v>0</v>
      </c>
      <c r="H103" s="45">
        <f t="shared" si="12"/>
        <v>0</v>
      </c>
      <c r="I103" s="25"/>
      <c r="J103" s="43"/>
      <c r="K103" s="43"/>
      <c r="L103" s="43"/>
      <c r="M103" s="43"/>
      <c r="N103" s="45"/>
      <c r="O103" s="45">
        <f t="shared" si="10"/>
        <v>0</v>
      </c>
      <c r="P103" s="43"/>
      <c r="Q103" s="25"/>
      <c r="R103" s="44"/>
      <c r="S103" s="43"/>
      <c r="T103" s="45"/>
      <c r="U103" s="24"/>
      <c r="V103" s="17"/>
      <c r="W103" s="8"/>
    </row>
    <row r="104" s="4" customFormat="1" customHeight="1" spans="1:23">
      <c r="A104" s="8"/>
      <c r="B104" s="14"/>
      <c r="C104" s="24"/>
      <c r="D104" s="43"/>
      <c r="E104" s="44"/>
      <c r="F104" s="45">
        <f t="shared" si="13"/>
        <v>0</v>
      </c>
      <c r="G104" s="45">
        <f t="shared" si="11"/>
        <v>0</v>
      </c>
      <c r="H104" s="45">
        <f t="shared" si="12"/>
        <v>0</v>
      </c>
      <c r="I104" s="25"/>
      <c r="J104" s="43"/>
      <c r="K104" s="43"/>
      <c r="L104" s="43"/>
      <c r="M104" s="43"/>
      <c r="N104" s="45"/>
      <c r="O104" s="45">
        <f t="shared" si="10"/>
        <v>0</v>
      </c>
      <c r="P104" s="43"/>
      <c r="Q104" s="25"/>
      <c r="R104" s="44"/>
      <c r="S104" s="43"/>
      <c r="T104" s="45"/>
      <c r="U104" s="24"/>
      <c r="V104" s="17"/>
      <c r="W104" s="8"/>
    </row>
    <row r="105" s="4" customFormat="1" customHeight="1" spans="1:23">
      <c r="A105" s="8"/>
      <c r="B105" s="14"/>
      <c r="C105" s="24"/>
      <c r="D105" s="43"/>
      <c r="E105" s="44"/>
      <c r="F105" s="45">
        <f t="shared" si="13"/>
        <v>0</v>
      </c>
      <c r="G105" s="45">
        <f t="shared" si="11"/>
        <v>0</v>
      </c>
      <c r="H105" s="45">
        <f t="shared" si="12"/>
        <v>0</v>
      </c>
      <c r="I105" s="25"/>
      <c r="J105" s="43"/>
      <c r="K105" s="43"/>
      <c r="L105" s="43"/>
      <c r="M105" s="43"/>
      <c r="N105" s="45"/>
      <c r="O105" s="45">
        <f t="shared" si="10"/>
        <v>0</v>
      </c>
      <c r="P105" s="43"/>
      <c r="Q105" s="25"/>
      <c r="R105" s="44"/>
      <c r="S105" s="43"/>
      <c r="T105" s="45"/>
      <c r="U105" s="24"/>
      <c r="V105" s="17"/>
      <c r="W105" s="8"/>
    </row>
    <row r="106" s="4" customFormat="1" customHeight="1" spans="1:23">
      <c r="A106" s="8"/>
      <c r="B106" s="14"/>
      <c r="C106" s="24"/>
      <c r="D106" s="43"/>
      <c r="E106" s="44"/>
      <c r="F106" s="45">
        <f t="shared" si="13"/>
        <v>0</v>
      </c>
      <c r="G106" s="45">
        <f t="shared" si="11"/>
        <v>0</v>
      </c>
      <c r="H106" s="45">
        <f t="shared" si="12"/>
        <v>0</v>
      </c>
      <c r="I106" s="25"/>
      <c r="J106" s="43"/>
      <c r="K106" s="43"/>
      <c r="L106" s="43"/>
      <c r="M106" s="43"/>
      <c r="N106" s="45"/>
      <c r="O106" s="45">
        <f t="shared" si="10"/>
        <v>0</v>
      </c>
      <c r="P106" s="43"/>
      <c r="Q106" s="25"/>
      <c r="R106" s="44"/>
      <c r="S106" s="43"/>
      <c r="T106" s="45"/>
      <c r="U106" s="24"/>
      <c r="V106" s="17"/>
      <c r="W106" s="8"/>
    </row>
    <row r="107" s="4" customFormat="1" customHeight="1" spans="1:23">
      <c r="A107" s="8"/>
      <c r="B107" s="14"/>
      <c r="C107" s="24"/>
      <c r="D107" s="43"/>
      <c r="E107" s="44"/>
      <c r="F107" s="45">
        <f t="shared" si="13"/>
        <v>0</v>
      </c>
      <c r="G107" s="45">
        <f t="shared" si="11"/>
        <v>0</v>
      </c>
      <c r="H107" s="45">
        <f t="shared" si="12"/>
        <v>0</v>
      </c>
      <c r="I107" s="25"/>
      <c r="J107" s="43"/>
      <c r="K107" s="43"/>
      <c r="L107" s="43"/>
      <c r="M107" s="43"/>
      <c r="N107" s="45"/>
      <c r="O107" s="45">
        <f t="shared" si="10"/>
        <v>0</v>
      </c>
      <c r="P107" s="43"/>
      <c r="Q107" s="25"/>
      <c r="R107" s="44"/>
      <c r="S107" s="43"/>
      <c r="T107" s="45"/>
      <c r="U107" s="24"/>
      <c r="V107" s="17"/>
      <c r="W107" s="8"/>
    </row>
    <row r="108" s="4" customFormat="1" customHeight="1" spans="1:23">
      <c r="A108" s="8"/>
      <c r="B108" s="14"/>
      <c r="C108" s="24"/>
      <c r="D108" s="43"/>
      <c r="E108" s="44"/>
      <c r="F108" s="45">
        <f t="shared" si="13"/>
        <v>0</v>
      </c>
      <c r="G108" s="45">
        <f t="shared" si="11"/>
        <v>0</v>
      </c>
      <c r="H108" s="45">
        <f t="shared" si="12"/>
        <v>0</v>
      </c>
      <c r="I108" s="25"/>
      <c r="J108" s="43"/>
      <c r="K108" s="43"/>
      <c r="L108" s="43"/>
      <c r="M108" s="43"/>
      <c r="N108" s="45"/>
      <c r="O108" s="45">
        <f t="shared" si="10"/>
        <v>0</v>
      </c>
      <c r="P108" s="43"/>
      <c r="Q108" s="25"/>
      <c r="R108" s="44"/>
      <c r="S108" s="43"/>
      <c r="T108" s="45"/>
      <c r="U108" s="24"/>
      <c r="V108" s="17"/>
      <c r="W108" s="8"/>
    </row>
  </sheetData>
  <mergeCells count="20">
    <mergeCell ref="E4:G4"/>
    <mergeCell ref="H4:J4"/>
    <mergeCell ref="L4:N4"/>
    <mergeCell ref="R4:T4"/>
    <mergeCell ref="E5:G5"/>
    <mergeCell ref="H5:J5"/>
    <mergeCell ref="L5:N5"/>
    <mergeCell ref="P5:T5"/>
    <mergeCell ref="E8:H8"/>
    <mergeCell ref="L8:M8"/>
    <mergeCell ref="N8:P8"/>
    <mergeCell ref="S8:T8"/>
    <mergeCell ref="E9:H9"/>
    <mergeCell ref="L9:M9"/>
    <mergeCell ref="N9:P9"/>
    <mergeCell ref="S9:T9"/>
    <mergeCell ref="D11:H11"/>
    <mergeCell ref="J11:P11"/>
    <mergeCell ref="R11:T11"/>
    <mergeCell ref="D4:D5"/>
  </mergeCells>
  <conditionalFormatting sqref="D13:H108">
    <cfRule type="expression" dxfId="0" priority="1">
      <formula>AND($F13&gt;0,$H13=0)</formula>
    </cfRule>
  </conditionalFormatting>
  <dataValidations count="1">
    <dataValidation type="list" allowBlank="1" showInputMessage="1" showErrorMessage="1" sqref="J13:J108 S13:S108">
      <formula1>$D$13:$D$1000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workbookViewId="0">
      <selection activeCell="S52" sqref="S52"/>
    </sheetView>
  </sheetViews>
  <sheetFormatPr defaultColWidth="8.89285714285714" defaultRowHeight="16.8"/>
  <cols>
    <col min="1" max="1" width="1" style="1" customWidth="1"/>
    <col min="2" max="2" width="1.66964285714286" style="1" customWidth="1"/>
    <col min="3" max="16384" width="8.89285714285714" style="1"/>
  </cols>
  <sheetData>
    <row r="1" s="1" customFormat="1" ht="9" customHeight="1" spans="1:40">
      <c r="A1" s="2"/>
      <c r="B1" s="2"/>
      <c r="C1" s="2"/>
      <c r="D1" s="2"/>
      <c r="E1" s="2"/>
      <c r="F1" s="2"/>
      <c r="G1" s="2"/>
      <c r="H1" s="2"/>
      <c r="I1" s="2"/>
    </row>
    <row r="2" s="1" customFormat="1" hidden="1" spans="1:40">
      <c r="A2" s="2"/>
      <c r="B2" s="2"/>
      <c r="C2" s="2"/>
      <c r="D2" s="2"/>
      <c r="E2" s="2"/>
      <c r="F2" s="2"/>
      <c r="G2" s="2"/>
      <c r="H2" s="2"/>
      <c r="I2" s="2"/>
    </row>
    <row r="3" s="1" customFormat="1" spans="1:40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="1" customFormat="1" spans="1:40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="1" customFormat="1" spans="1:40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="1" customFormat="1" spans="1:40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="1" customFormat="1" spans="1:40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="1" customFormat="1" spans="1:40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="1" customFormat="1" spans="1:40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="1" customFormat="1" spans="1:40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="1" customFormat="1" spans="1:40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="1" customFormat="1" spans="1:40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="1" customFormat="1" spans="1:40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="1" customFormat="1" spans="1:40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="1" customFormat="1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="1" customFormat="1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="1" customFormat="1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="1" customFormat="1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="1" customFormat="1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="1" customFormat="1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="1" customFormat="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="1" customFormat="1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="1" customFormat="1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="1" customFormat="1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="1" customFormat="1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="1" customFormat="1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="1" customFormat="1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="1" customFormat="1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="1" customFormat="1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="1" customFormat="1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="1" customFormat="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="1" customFormat="1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="1" customFormat="1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="1" customFormat="1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="1" customFormat="1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="1" customFormat="1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="1" customFormat="1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="1" customFormat="1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="1" customFormat="1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="1" customFormat="1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="1" customFormat="1" spans="1:40">
      <c r="A41" s="2"/>
    </row>
    <row r="42" s="1" customFormat="1" spans="1:40">
      <c r="A42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客户对账单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宋飞</dc:creator>
  <cp:lastModifiedBy>喂小猪的老菜皮</cp:lastModifiedBy>
  <dcterms:created xsi:type="dcterms:W3CDTF">2015-06-06T02:17:00Z</dcterms:created>
  <dcterms:modified xsi:type="dcterms:W3CDTF">2026-01-19T14:09:25Z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664823A9E3A9D6C68ECA6D692B54CB4B_41</vt:lpwstr>
  </property>
  <property fmtid="{D5CDD505-2E9C-101B-9397-08002B2CF9AE}" pid="3" name="KSOProductBuildVer">
    <vt:lpwstr>2052-12.1.23540.23540</vt:lpwstr>
  </property>
  <property fmtid="{D5CDD505-2E9C-101B-9397-08002B2CF9AE}" pid="4" name="KSOTemplateUUID">
    <vt:lpwstr>v1.0_mb_oCmhng522fqBtQoJ30WxWg==</vt:lpwstr>
  </property>
</Properties>
</file>